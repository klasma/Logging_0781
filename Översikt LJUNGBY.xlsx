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46225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46225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46225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46225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46225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46225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46225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46225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46225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46225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46225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46225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46225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46225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46225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46225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46225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46225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46225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46225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46225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46225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46225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46225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46225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46225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Brunpudrad nållav
Brandticka
Spillkråka</t>
        </is>
      </c>
      <c r="W30">
        <f>HYPERLINK("https://klasma.github.io/Logging_0781/artfynd/A 36046-2024 artfynd.xlsx", "A 36046-2024")</f>
        <v/>
      </c>
      <c r="X30">
        <f>HYPERLINK("https://klasma.github.io/Logging_0781/kartor/A 36046-2024 karta.png", "A 36046-2024")</f>
        <v/>
      </c>
      <c r="Y30">
        <f>HYPERLINK("https://klasma.github.io/Logging_0781/kartor_geotiff/A 36046-2024 georefererad karta.tif", "A 36046-2024")</f>
        <v/>
      </c>
      <c r="AA30">
        <f>HYPERLINK("https://klasma.github.io/Logging_0781/klagomål/A 36046-2024 FSC-klagomål.docx", "A 36046-2024")</f>
        <v/>
      </c>
      <c r="AB30">
        <f>HYPERLINK("https://klasma.github.io/Logging_0781/klagomålsmail/A 36046-2024 FSC-klagomål mail.docx", "A 36046-2024")</f>
        <v/>
      </c>
      <c r="AC30">
        <f>HYPERLINK("https://klasma.github.io/Logging_0781/tillsyn/A 36046-2024 tillsynsbegäran.docx", "A 36046-2024")</f>
        <v/>
      </c>
      <c r="AD30">
        <f>HYPERLINK("https://klasma.github.io/Logging_0781/tillsynsmail/A 36046-2024 tillsynsbegäran mail.docx", "A 36046-2024")</f>
        <v/>
      </c>
      <c r="AE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46225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46225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46225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46225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46225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28560-2025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45819</v>
      </c>
      <c r="E36" s="1" t="n">
        <v>46225</v>
      </c>
      <c r="F36" t="inlineStr">
        <is>
          <t>KRONOBERGS LÄN</t>
        </is>
      </c>
      <c r="G36" t="inlineStr">
        <is>
          <t>LJUNGBY</t>
        </is>
      </c>
      <c r="I36" t="n">
        <v>0.9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Jungfrulin
Svinrot</t>
        </is>
      </c>
      <c r="W36">
        <f>HYPERLINK("https://klasma.github.io/Logging_0781/artfynd/A 28560-2025 artfynd.xlsx", "A 28560-2025")</f>
        <v/>
      </c>
      <c r="X36">
        <f>HYPERLINK("https://klasma.github.io/Logging_0781/kartor/A 28560-2025 karta.png", "A 28560-2025")</f>
        <v/>
      </c>
      <c r="Y36">
        <f>HYPERLINK("https://klasma.github.io/Logging_0781/kartor_geotiff/A 28560-2025 georefererad karta.tif", "A 28560-2025")</f>
        <v/>
      </c>
      <c r="AA36">
        <f>HYPERLINK("https://klasma.github.io/Logging_0781/klagomål/A 28560-2025 FSC-klagomål.docx", "A 28560-2025")</f>
        <v/>
      </c>
      <c r="AB36">
        <f>HYPERLINK("https://klasma.github.io/Logging_0781/klagomålsmail/A 28560-2025 FSC-klagomål mail.docx", "A 28560-2025")</f>
        <v/>
      </c>
      <c r="AC36">
        <f>HYPERLINK("https://klasma.github.io/Logging_0781/tillsyn/A 28560-2025 tillsynsbegäran.docx", "A 28560-2025")</f>
        <v/>
      </c>
      <c r="AD36">
        <f>HYPERLINK("https://klasma.github.io/Logging_0781/tillsynsmail/A 28560-2025 tillsynsbegäran mail.docx", "A 28560-2025")</f>
        <v/>
      </c>
    </row>
    <row r="37" ht="15" customHeight="1">
      <c r="A37" t="inlineStr">
        <is>
          <t>A 12841-2025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46225</v>
      </c>
      <c r="F37" t="inlineStr">
        <is>
          <t>KRONOBERGS LÄN</t>
        </is>
      </c>
      <c r="G37" t="inlineStr">
        <is>
          <t>LJUNGBY</t>
        </is>
      </c>
      <c r="I37" t="n">
        <v>5.2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HYPERLINK("https://klasma.github.io/Logging_0781/artfynd/A 12841-2025 artfynd.xlsx", "A 12841-2025")</f>
        <v/>
      </c>
      <c r="X37">
        <f>HYPERLINK("https://klasma.github.io/Logging_0781/kartor/A 12841-2025 karta.png", "A 12841-2025")</f>
        <v/>
      </c>
      <c r="Y37">
        <f>HYPERLINK("https://klasma.github.io/Logging_0781/kartor_geotiff/A 12841-2025 georefererad karta.tif", "A 12841-2025")</f>
        <v/>
      </c>
      <c r="AA37">
        <f>HYPERLINK("https://klasma.github.io/Logging_0781/klagomål/A 12841-2025 FSC-klagomål.docx", "A 12841-2025")</f>
        <v/>
      </c>
      <c r="AB37">
        <f>HYPERLINK("https://klasma.github.io/Logging_0781/klagomålsmail/A 12841-2025 FSC-klagomål mail.docx", "A 12841-2025")</f>
        <v/>
      </c>
      <c r="AC37">
        <f>HYPERLINK("https://klasma.github.io/Logging_0781/tillsyn/A 12841-2025 tillsynsbegäran.docx", "A 12841-2025")</f>
        <v/>
      </c>
      <c r="AD37">
        <f>HYPERLINK("https://klasma.github.io/Logging_0781/tillsynsmail/A 12841-2025 tillsynsbegäran mail.docx", "A 12841-2025")</f>
        <v/>
      </c>
    </row>
    <row r="38" ht="15" customHeight="1">
      <c r="A38" t="inlineStr">
        <is>
          <t>A 28041-2024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45476</v>
      </c>
      <c r="E38" s="1" t="n">
        <v>46225</v>
      </c>
      <c r="F38" t="inlineStr">
        <is>
          <t>KRONOBERGS LÄN</t>
        </is>
      </c>
      <c r="G38" t="inlineStr">
        <is>
          <t>LJUNGBY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1</v>
      </c>
      <c r="V38" s="2" t="inlineStr">
        <is>
          <t>Brunag
Mattlummer</t>
        </is>
      </c>
      <c r="W38">
        <f>HYPERLINK("https://klasma.github.io/Logging_0781/artfynd/A 28041-2024 artfynd.xlsx", "A 28041-2024")</f>
        <v/>
      </c>
      <c r="X38">
        <f>HYPERLINK("https://klasma.github.io/Logging_0781/kartor/A 28041-2024 karta.png", "A 28041-2024")</f>
        <v/>
      </c>
      <c r="Y38">
        <f>HYPERLINK("https://klasma.github.io/Logging_0781/kartor_geotiff/A 28041-2024 georefererad karta.tif", "A 28041-2024")</f>
        <v/>
      </c>
      <c r="AA38">
        <f>HYPERLINK("https://klasma.github.io/Logging_0781/klagomål/A 28041-2024 FSC-klagomål.docx", "A 28041-2024")</f>
        <v/>
      </c>
      <c r="AB38">
        <f>HYPERLINK("https://klasma.github.io/Logging_0781/klagomålsmail/A 28041-2024 FSC-klagomål mail.docx", "A 28041-2024")</f>
        <v/>
      </c>
      <c r="AC38">
        <f>HYPERLINK("https://klasma.github.io/Logging_0781/tillsyn/A 28041-2024 tillsynsbegäran.docx", "A 28041-2024")</f>
        <v/>
      </c>
      <c r="AD38">
        <f>HYPERLINK("https://klasma.github.io/Logging_0781/tillsynsmail/A 28041-2024 tillsynsbegäran mail.docx", "A 28041-2024")</f>
        <v/>
      </c>
    </row>
    <row r="39" ht="15" customHeight="1">
      <c r="A39" t="inlineStr">
        <is>
          <t>A 9027-2024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46225</v>
      </c>
      <c r="F39" t="inlineStr">
        <is>
          <t>KRONOBERGS LÄN</t>
        </is>
      </c>
      <c r="G39" t="inlineStr">
        <is>
          <t>LJUNGBY</t>
        </is>
      </c>
      <c r="I39" t="n">
        <v>0.4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Klockgentiana
Granspira</t>
        </is>
      </c>
      <c r="W39">
        <f>HYPERLINK("https://klasma.github.io/Logging_0781/artfynd/A 9027-2024 artfynd.xlsx", "A 9027-2024")</f>
        <v/>
      </c>
      <c r="X39">
        <f>HYPERLINK("https://klasma.github.io/Logging_0781/kartor/A 9027-2024 karta.png", "A 9027-2024")</f>
        <v/>
      </c>
      <c r="Y39">
        <f>HYPERLINK("https://klasma.github.io/Logging_0781/kartor_geotiff/A 9027-2024 georefererad karta.tif", "A 9027-2024")</f>
        <v/>
      </c>
      <c r="AA39">
        <f>HYPERLINK("https://klasma.github.io/Logging_0781/klagomål/A 9027-2024 FSC-klagomål.docx", "A 9027-2024")</f>
        <v/>
      </c>
      <c r="AB39">
        <f>HYPERLINK("https://klasma.github.io/Logging_0781/klagomålsmail/A 9027-2024 FSC-klagomål mail.docx", "A 9027-2024")</f>
        <v/>
      </c>
      <c r="AC39">
        <f>HYPERLINK("https://klasma.github.io/Logging_0781/tillsyn/A 9027-2024 tillsynsbegäran.docx", "A 9027-2024")</f>
        <v/>
      </c>
      <c r="AD39">
        <f>HYPERLINK("https://klasma.github.io/Logging_0781/tillsynsmail/A 9027-2024 tillsynsbegäran mail.docx", "A 9027-2024")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46225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46225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21869-2026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46225</v>
      </c>
      <c r="F42" t="inlineStr">
        <is>
          <t>KRONOBERGS LÄN</t>
        </is>
      </c>
      <c r="G42" t="inlineStr">
        <is>
          <t>LJUNGBY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Svinrot
Ängskovall</t>
        </is>
      </c>
      <c r="W42">
        <f>HYPERLINK("https://klasma.github.io/Logging_0781/artfynd/A 21869-2026 artfynd.xlsx", "A 21869-2026")</f>
        <v/>
      </c>
      <c r="X42">
        <f>HYPERLINK("https://klasma.github.io/Logging_0781/kartor/A 21869-2026 karta.png", "A 21869-2026")</f>
        <v/>
      </c>
      <c r="Y42">
        <f>HYPERLINK("https://klasma.github.io/Logging_0781/kartor_geotiff/A 21869-2026 georefererad karta.tif", "A 21869-2026")</f>
        <v/>
      </c>
      <c r="AA42">
        <f>HYPERLINK("https://klasma.github.io/Logging_0781/klagomål/A 21869-2026 FSC-klagomål.docx", "A 21869-2026")</f>
        <v/>
      </c>
      <c r="AB42">
        <f>HYPERLINK("https://klasma.github.io/Logging_0781/klagomålsmail/A 21869-2026 FSC-klagomål mail.docx", "A 21869-2026")</f>
        <v/>
      </c>
      <c r="AC42">
        <f>HYPERLINK("https://klasma.github.io/Logging_0781/tillsyn/A 21869-2026 tillsynsbegäran.docx", "A 21869-2026")</f>
        <v/>
      </c>
      <c r="AD42">
        <f>HYPERLINK("https://klasma.github.io/Logging_0781/tillsynsmail/A 21869-2026 tillsynsbegäran mail.docx", "A 21869-2026")</f>
        <v/>
      </c>
    </row>
    <row r="43" ht="15" customHeight="1">
      <c r="A43" t="inlineStr">
        <is>
          <t>A 28286-2026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46225</v>
      </c>
      <c r="F43" t="inlineStr">
        <is>
          <t>KRONOBERGS LÄN</t>
        </is>
      </c>
      <c r="G43" t="inlineStr">
        <is>
          <t>LJUNGBY</t>
        </is>
      </c>
      <c r="I43" t="n">
        <v>0.5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Korallrot
Spindelblomster</t>
        </is>
      </c>
      <c r="W43">
        <f>HYPERLINK("https://klasma.github.io/Logging_0781/artfynd/A 28286-2026 artfynd.xlsx", "A 28286-2026")</f>
        <v/>
      </c>
      <c r="X43">
        <f>HYPERLINK("https://klasma.github.io/Logging_0781/kartor/A 28286-2026 karta.png", "A 28286-2026")</f>
        <v/>
      </c>
      <c r="Y43">
        <f>HYPERLINK("https://klasma.github.io/Logging_0781/kartor_geotiff/A 28286-2026 georefererad karta.tif", "A 28286-2026")</f>
        <v/>
      </c>
      <c r="AA43">
        <f>HYPERLINK("https://klasma.github.io/Logging_0781/klagomål/A 28286-2026 FSC-klagomål.docx", "A 28286-2026")</f>
        <v/>
      </c>
      <c r="AB43">
        <f>HYPERLINK("https://klasma.github.io/Logging_0781/klagomålsmail/A 28286-2026 FSC-klagomål mail.docx", "A 28286-2026")</f>
        <v/>
      </c>
      <c r="AC43">
        <f>HYPERLINK("https://klasma.github.io/Logging_0781/tillsyn/A 28286-2026 tillsynsbegäran.docx", "A 28286-2026")</f>
        <v/>
      </c>
      <c r="AD43">
        <f>HYPERLINK("https://klasma.github.io/Logging_0781/tillsynsmail/A 28286-2026 tillsynsbegäran mail.docx", "A 28286-2026")</f>
        <v/>
      </c>
    </row>
    <row r="44" ht="15" customHeight="1">
      <c r="A44" t="inlineStr">
        <is>
          <t>A 28774-2026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46198</v>
      </c>
      <c r="E44" s="1" t="n">
        <v>46225</v>
      </c>
      <c r="F44" t="inlineStr">
        <is>
          <t>KRONOBERGS LÄN</t>
        </is>
      </c>
      <c r="G44" t="inlineStr">
        <is>
          <t>LJUNGBY</t>
        </is>
      </c>
      <c r="I44" t="n">
        <v>4.3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Skuggmossa
Fläcknycklar</t>
        </is>
      </c>
      <c r="W44">
        <f>HYPERLINK("https://klasma.github.io/Logging_0781/artfynd/A 28774-2026 artfynd.xlsx", "A 28774-2026")</f>
        <v/>
      </c>
      <c r="X44">
        <f>HYPERLINK("https://klasma.github.io/Logging_0781/kartor/A 28774-2026 karta.png", "A 28774-2026")</f>
        <v/>
      </c>
      <c r="Y44">
        <f>HYPERLINK("https://klasma.github.io/Logging_0781/kartor_geotiff/A 28774-2026 georefererad karta.tif", "A 28774-2026")</f>
        <v/>
      </c>
      <c r="AA44">
        <f>HYPERLINK("https://klasma.github.io/Logging_0781/klagomål/A 28774-2026 FSC-klagomål.docx", "A 28774-2026")</f>
        <v/>
      </c>
      <c r="AB44">
        <f>HYPERLINK("https://klasma.github.io/Logging_0781/klagomålsmail/A 28774-2026 FSC-klagomål mail.docx", "A 28774-2026")</f>
        <v/>
      </c>
      <c r="AC44">
        <f>HYPERLINK("https://klasma.github.io/Logging_0781/tillsyn/A 28774-2026 tillsynsbegäran.docx", "A 28774-2026")</f>
        <v/>
      </c>
      <c r="AD44">
        <f>HYPERLINK("https://klasma.github.io/Logging_0781/tillsynsmail/A 28774-2026 tillsynsbegäran mail.docx", "A 28774-2026")</f>
        <v/>
      </c>
    </row>
    <row r="45" ht="15" customHeight="1">
      <c r="A45" t="inlineStr">
        <is>
          <t>A 24024-2023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46225</v>
      </c>
      <c r="F45" t="inlineStr">
        <is>
          <t>KRONOBERGS LÄN</t>
        </is>
      </c>
      <c r="G45" t="inlineStr">
        <is>
          <t>LJUNGBY</t>
        </is>
      </c>
      <c r="I45" t="n">
        <v>3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24024-2023 artfynd.xlsx", "A 24024-2023")</f>
        <v/>
      </c>
      <c r="X45">
        <f>HYPERLINK("https://klasma.github.io/Logging_0781/kartor/A 24024-2023 karta.png", "A 24024-2023")</f>
        <v/>
      </c>
      <c r="Y45">
        <f>HYPERLINK("https://klasma.github.io/Logging_0781/kartor_geotiff/A 24024-2023 georefererad karta.tif", "A 24024-2023")</f>
        <v/>
      </c>
      <c r="AA45">
        <f>HYPERLINK("https://klasma.github.io/Logging_0781/klagomål/A 24024-2023 FSC-klagomål.docx", "A 24024-2023")</f>
        <v/>
      </c>
      <c r="AB45">
        <f>HYPERLINK("https://klasma.github.io/Logging_0781/klagomålsmail/A 24024-2023 FSC-klagomål mail.docx", "A 24024-2023")</f>
        <v/>
      </c>
      <c r="AC45">
        <f>HYPERLINK("https://klasma.github.io/Logging_0781/tillsyn/A 24024-2023 tillsynsbegäran.docx", "A 24024-2023")</f>
        <v/>
      </c>
      <c r="AD45">
        <f>HYPERLINK("https://klasma.github.io/Logging_0781/tillsynsmail/A 24024-2023 tillsynsbegäran mail.docx", "A 24024-2023")</f>
        <v/>
      </c>
    </row>
    <row r="46" ht="15" customHeight="1">
      <c r="A46" t="inlineStr">
        <is>
          <t>A 36305-2023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46225</v>
      </c>
      <c r="F46" t="inlineStr">
        <is>
          <t>KRONOBERGS LÄN</t>
        </is>
      </c>
      <c r="G46" t="inlineStr">
        <is>
          <t>LJUNGBY</t>
        </is>
      </c>
      <c r="I46" t="n">
        <v>5.1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Björksplintborre
Blåmossa</t>
        </is>
      </c>
      <c r="W46">
        <f>HYPERLINK("https://klasma.github.io/Logging_0781/artfynd/A 36305-2023 artfynd.xlsx", "A 36305-2023")</f>
        <v/>
      </c>
      <c r="X46">
        <f>HYPERLINK("https://klasma.github.io/Logging_0781/kartor/A 36305-2023 karta.png", "A 36305-2023")</f>
        <v/>
      </c>
      <c r="Y46">
        <f>HYPERLINK("https://klasma.github.io/Logging_0781/kartor_geotiff/A 36305-2023 georefererad karta.tif", "A 36305-2023")</f>
        <v/>
      </c>
      <c r="AA46">
        <f>HYPERLINK("https://klasma.github.io/Logging_0781/klagomål/A 36305-2023 FSC-klagomål.docx", "A 36305-2023")</f>
        <v/>
      </c>
      <c r="AB46">
        <f>HYPERLINK("https://klasma.github.io/Logging_0781/klagomålsmail/A 36305-2023 FSC-klagomål mail.docx", "A 36305-2023")</f>
        <v/>
      </c>
      <c r="AC46">
        <f>HYPERLINK("https://klasma.github.io/Logging_0781/tillsyn/A 36305-2023 tillsynsbegäran.docx", "A 36305-2023")</f>
        <v/>
      </c>
      <c r="AD46">
        <f>HYPERLINK("https://klasma.github.io/Logging_0781/tillsynsmail/A 36305-2023 tillsynsbegäran mail.docx", "A 36305-2023")</f>
        <v/>
      </c>
    </row>
    <row r="47" ht="15" customHeight="1">
      <c r="A47" t="inlineStr">
        <is>
          <t>A 49747-2023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45212</v>
      </c>
      <c r="E47" s="1" t="n">
        <v>46225</v>
      </c>
      <c r="F47" t="inlineStr">
        <is>
          <t>KRONOBERGS LÄN</t>
        </is>
      </c>
      <c r="G47" t="inlineStr">
        <is>
          <t>LJUNGBY</t>
        </is>
      </c>
      <c r="I47" t="n">
        <v>6.7</v>
      </c>
      <c r="J47" t="n">
        <v>1</v>
      </c>
      <c r="K47" t="n">
        <v>0</v>
      </c>
      <c r="L47" t="n">
        <v>0</v>
      </c>
      <c r="M47" t="n">
        <v>1</v>
      </c>
      <c r="N47" t="n">
        <v>1</v>
      </c>
      <c r="O47" t="n">
        <v>0</v>
      </c>
      <c r="P47" t="n">
        <v>0</v>
      </c>
      <c r="Q47" t="n">
        <v>2</v>
      </c>
      <c r="R47" t="n">
        <v>2</v>
      </c>
      <c r="S47" t="n">
        <v>2</v>
      </c>
      <c r="T47" t="n">
        <v>2</v>
      </c>
      <c r="U47" t="n">
        <v>0</v>
      </c>
      <c r="V47" s="2" t="inlineStr">
        <is>
          <t>Klockgentiana
Sjötåtel</t>
        </is>
      </c>
      <c r="W47">
        <f>HYPERLINK("https://klasma.github.io/Logging_0781/artfynd/A 49747-2023 artfynd.xlsx", "A 49747-2023")</f>
        <v/>
      </c>
      <c r="X47">
        <f>HYPERLINK("https://klasma.github.io/Logging_0781/kartor/A 49747-2023 karta.png", "A 49747-2023")</f>
        <v/>
      </c>
      <c r="Y47">
        <f>HYPERLINK("https://klasma.github.io/Logging_0781/kartor_geotiff/A 49747-2023 georefererad karta.tif", "A 49747-2023")</f>
        <v/>
      </c>
      <c r="AA47">
        <f>HYPERLINK("https://klasma.github.io/Logging_0781/klagomål/A 49747-2023 FSC-klagomål.docx", "A 49747-2023")</f>
        <v/>
      </c>
      <c r="AB47">
        <f>HYPERLINK("https://klasma.github.io/Logging_0781/klagomålsmail/A 49747-2023 FSC-klagomål mail.docx", "A 49747-2023")</f>
        <v/>
      </c>
      <c r="AC47">
        <f>HYPERLINK("https://klasma.github.io/Logging_0781/tillsyn/A 49747-2023 tillsynsbegäran.docx", "A 49747-2023")</f>
        <v/>
      </c>
      <c r="AD47">
        <f>HYPERLINK("https://klasma.github.io/Logging_0781/tillsynsmail/A 49747-2023 tillsynsbegäran mail.docx", "A 49747-2023")</f>
        <v/>
      </c>
    </row>
    <row r="48" ht="15" customHeight="1">
      <c r="A48" t="inlineStr">
        <is>
          <t>A 30359-2023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46225</v>
      </c>
      <c r="F48" t="inlineStr">
        <is>
          <t>KRONOBERGS LÄN</t>
        </is>
      </c>
      <c r="G48" t="inlineStr">
        <is>
          <t>LJUNGBY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Brunpudrad nållav
Röd glada</t>
        </is>
      </c>
      <c r="W48">
        <f>HYPERLINK("https://klasma.github.io/Logging_0781/artfynd/A 30359-2023 artfynd.xlsx", "A 30359-2023")</f>
        <v/>
      </c>
      <c r="X48">
        <f>HYPERLINK("https://klasma.github.io/Logging_0781/kartor/A 30359-2023 karta.png", "A 30359-2023")</f>
        <v/>
      </c>
      <c r="Y48">
        <f>HYPERLINK("https://klasma.github.io/Logging_0781/kartor_geotiff/A 30359-2023 georefererad karta.tif", "A 30359-2023")</f>
        <v/>
      </c>
      <c r="AA48">
        <f>HYPERLINK("https://klasma.github.io/Logging_0781/klagomål/A 30359-2023 FSC-klagomål.docx", "A 30359-2023")</f>
        <v/>
      </c>
      <c r="AB48">
        <f>HYPERLINK("https://klasma.github.io/Logging_0781/klagomålsmail/A 30359-2023 FSC-klagomål mail.docx", "A 30359-2023")</f>
        <v/>
      </c>
      <c r="AC48">
        <f>HYPERLINK("https://klasma.github.io/Logging_0781/tillsyn/A 30359-2023 tillsynsbegäran.docx", "A 30359-2023")</f>
        <v/>
      </c>
      <c r="AD48">
        <f>HYPERLINK("https://klasma.github.io/Logging_0781/tillsynsmail/A 30359-2023 tillsynsbegäran mail.docx", "A 30359-2023")</f>
        <v/>
      </c>
      <c r="AE48">
        <f>HYPERLINK("https://klasma.github.io/Logging_0781/fåglar/A 30359-2023 prioriterade fågelarter.docx", "A 30359-2023")</f>
        <v/>
      </c>
    </row>
    <row r="49" ht="15" customHeight="1">
      <c r="A49" t="inlineStr">
        <is>
          <t>A 25295-2023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45086</v>
      </c>
      <c r="E49" s="1" t="n">
        <v>46225</v>
      </c>
      <c r="F49" t="inlineStr">
        <is>
          <t>KRONOBERGS LÄN</t>
        </is>
      </c>
      <c r="G49" t="inlineStr">
        <is>
          <t>LJUNGBY</t>
        </is>
      </c>
      <c r="I49" t="n">
        <v>1.3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Grönpyrola
Mattlummer</t>
        </is>
      </c>
      <c r="W49">
        <f>HYPERLINK("https://klasma.github.io/Logging_0781/artfynd/A 25295-2023 artfynd.xlsx", "A 25295-2023")</f>
        <v/>
      </c>
      <c r="X49">
        <f>HYPERLINK("https://klasma.github.io/Logging_0781/kartor/A 25295-2023 karta.png", "A 25295-2023")</f>
        <v/>
      </c>
      <c r="Y49">
        <f>HYPERLINK("https://klasma.github.io/Logging_0781/kartor_geotiff/A 25295-2023 georefererad karta.tif", "A 25295-2023")</f>
        <v/>
      </c>
      <c r="AA49">
        <f>HYPERLINK("https://klasma.github.io/Logging_0781/klagomål/A 25295-2023 FSC-klagomål.docx", "A 25295-2023")</f>
        <v/>
      </c>
      <c r="AB49">
        <f>HYPERLINK("https://klasma.github.io/Logging_0781/klagomålsmail/A 25295-2023 FSC-klagomål mail.docx", "A 25295-2023")</f>
        <v/>
      </c>
      <c r="AC49">
        <f>HYPERLINK("https://klasma.github.io/Logging_0781/tillsyn/A 25295-2023 tillsynsbegäran.docx", "A 25295-2023")</f>
        <v/>
      </c>
      <c r="AD49">
        <f>HYPERLINK("https://klasma.github.io/Logging_0781/tillsynsmail/A 25295-2023 tillsynsbegäran mail.docx", "A 25295-2023")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46225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Gulsparv
Kungsfågel</t>
        </is>
      </c>
      <c r="W50">
        <f>HYPERLINK("https://klasma.github.io/Logging_0781/artfynd/A 33079-2023 artfynd.xlsx", "A 33079-2023")</f>
        <v/>
      </c>
      <c r="X50">
        <f>HYPERLINK("https://klasma.github.io/Logging_0781/kartor/A 33079-2023 karta.png", "A 33079-2023")</f>
        <v/>
      </c>
      <c r="Y50">
        <f>HYPERLINK("https://klasma.github.io/Logging_0781/kartor_geotiff/A 33079-2023 georefererad karta.tif", "A 33079-2023")</f>
        <v/>
      </c>
      <c r="AA50">
        <f>HYPERLINK("https://klasma.github.io/Logging_0781/klagomål/A 33079-2023 FSC-klagomål.docx", "A 33079-2023")</f>
        <v/>
      </c>
      <c r="AB50">
        <f>HYPERLINK("https://klasma.github.io/Logging_0781/klagomålsmail/A 33079-2023 FSC-klagomål mail.docx", "A 33079-2023")</f>
        <v/>
      </c>
      <c r="AC50">
        <f>HYPERLINK("https://klasma.github.io/Logging_0781/tillsyn/A 33079-2023 tillsynsbegäran.docx", "A 33079-2023")</f>
        <v/>
      </c>
      <c r="AD50">
        <f>HYPERLINK("https://klasma.github.io/Logging_0781/tillsynsmail/A 33079-2023 tillsynsbegäran mail.docx", "A 33079-2023")</f>
        <v/>
      </c>
      <c r="AE50">
        <f>HYPERLINK("https://klasma.github.io/Logging_0781/fåglar/A 33079-2023 prioriterade fågelarter.docx", "A 33079-2023")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46225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60139-2024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46225</v>
      </c>
      <c r="F52" t="inlineStr">
        <is>
          <t>KRONOBERGS LÄN</t>
        </is>
      </c>
      <c r="G52" t="inlineStr">
        <is>
          <t>LJUNGBY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Skogsalm
Blåsippa</t>
        </is>
      </c>
      <c r="W52">
        <f>HYPERLINK("https://klasma.github.io/Logging_0781/artfynd/A 60139-2024 artfynd.xlsx", "A 60139-2024")</f>
        <v/>
      </c>
      <c r="X52">
        <f>HYPERLINK("https://klasma.github.io/Logging_0781/kartor/A 60139-2024 karta.png", "A 60139-2024")</f>
        <v/>
      </c>
      <c r="Y52">
        <f>HYPERLINK("https://klasma.github.io/Logging_0781/kartor_geotiff/A 60139-2024 georefererad karta.tif", "A 60139-2024")</f>
        <v/>
      </c>
      <c r="AA52">
        <f>HYPERLINK("https://klasma.github.io/Logging_0781/klagomål/A 60139-2024 FSC-klagomål.docx", "A 60139-2024")</f>
        <v/>
      </c>
      <c r="AB52">
        <f>HYPERLINK("https://klasma.github.io/Logging_0781/klagomålsmail/A 60139-2024 FSC-klagomål mail.docx", "A 60139-2024")</f>
        <v/>
      </c>
      <c r="AC52">
        <f>HYPERLINK("https://klasma.github.io/Logging_0781/tillsyn/A 60139-2024 tillsynsbegäran.docx", "A 60139-2024")</f>
        <v/>
      </c>
      <c r="AD52">
        <f>HYPERLINK("https://klasma.github.io/Logging_0781/tillsynsmail/A 60139-2024 tillsynsbegäran mail.docx", "A 60139-2024")</f>
        <v/>
      </c>
    </row>
    <row r="53" ht="15" customHeight="1">
      <c r="A53" t="inlineStr">
        <is>
          <t>A 28673-2023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46225</v>
      </c>
      <c r="F53" t="inlineStr">
        <is>
          <t>KRONOBERGS LÄN</t>
        </is>
      </c>
      <c r="G53" t="inlineStr">
        <is>
          <t>LJUNGBY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Gullpudra
Vanlig groda</t>
        </is>
      </c>
      <c r="W53">
        <f>HYPERLINK("https://klasma.github.io/Logging_0781/artfynd/A 28673-2023 artfynd.xlsx", "A 28673-2023")</f>
        <v/>
      </c>
      <c r="X53">
        <f>HYPERLINK("https://klasma.github.io/Logging_0781/kartor/A 28673-2023 karta.png", "A 28673-2023")</f>
        <v/>
      </c>
      <c r="Y53">
        <f>HYPERLINK("https://klasma.github.io/Logging_0781/kartor_geotiff/A 28673-2023 georefererad karta.tif", "A 28673-2023")</f>
        <v/>
      </c>
      <c r="AA53">
        <f>HYPERLINK("https://klasma.github.io/Logging_0781/klagomål/A 28673-2023 FSC-klagomål.docx", "A 28673-2023")</f>
        <v/>
      </c>
      <c r="AB53">
        <f>HYPERLINK("https://klasma.github.io/Logging_0781/klagomålsmail/A 28673-2023 FSC-klagomål mail.docx", "A 28673-2023")</f>
        <v/>
      </c>
      <c r="AC53">
        <f>HYPERLINK("https://klasma.github.io/Logging_0781/tillsyn/A 28673-2023 tillsynsbegäran.docx", "A 28673-2023")</f>
        <v/>
      </c>
      <c r="AD53">
        <f>HYPERLINK("https://klasma.github.io/Logging_0781/tillsynsmail/A 28673-2023 tillsynsbegäran mail.docx", "A 28673-2023")</f>
        <v/>
      </c>
    </row>
    <row r="54" ht="15" customHeight="1">
      <c r="A54" t="inlineStr">
        <is>
          <t>A 45510-2023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45194</v>
      </c>
      <c r="E54" s="1" t="n">
        <v>46225</v>
      </c>
      <c r="F54" t="inlineStr">
        <is>
          <t>KRONOBERGS LÄN</t>
        </is>
      </c>
      <c r="G54" t="inlineStr">
        <is>
          <t>LJUNGBY</t>
        </is>
      </c>
      <c r="I54" t="n">
        <v>1.9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Fällmossa
Klippfrullania</t>
        </is>
      </c>
      <c r="W54">
        <f>HYPERLINK("https://klasma.github.io/Logging_0781/artfynd/A 45510-2023 artfynd.xlsx", "A 45510-2023")</f>
        <v/>
      </c>
      <c r="X54">
        <f>HYPERLINK("https://klasma.github.io/Logging_0781/kartor/A 45510-2023 karta.png", "A 45510-2023")</f>
        <v/>
      </c>
      <c r="Y54">
        <f>HYPERLINK("https://klasma.github.io/Logging_0781/kartor_geotiff/A 45510-2023 georefererad karta.tif", "A 45510-2023")</f>
        <v/>
      </c>
      <c r="AA54">
        <f>HYPERLINK("https://klasma.github.io/Logging_0781/klagomål/A 45510-2023 FSC-klagomål.docx", "A 45510-2023")</f>
        <v/>
      </c>
      <c r="AB54">
        <f>HYPERLINK("https://klasma.github.io/Logging_0781/klagomålsmail/A 45510-2023 FSC-klagomål mail.docx", "A 45510-2023")</f>
        <v/>
      </c>
      <c r="AC54">
        <f>HYPERLINK("https://klasma.github.io/Logging_0781/tillsyn/A 45510-2023 tillsynsbegäran.docx", "A 45510-2023")</f>
        <v/>
      </c>
      <c r="AD54">
        <f>HYPERLINK("https://klasma.github.io/Logging_0781/tillsynsmail/A 45510-2023 tillsynsbegäran mail.docx", "A 45510-2023")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46225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Sjötåtel
Hårklomossa</t>
        </is>
      </c>
      <c r="W55">
        <f>HYPERLINK("https://klasma.github.io/Logging_0781/artfynd/A 42783-2023 artfynd.xlsx", "A 42783-2023")</f>
        <v/>
      </c>
      <c r="X55">
        <f>HYPERLINK("https://klasma.github.io/Logging_0781/kartor/A 42783-2023 karta.png", "A 42783-2023")</f>
        <v/>
      </c>
      <c r="Y55">
        <f>HYPERLINK("https://klasma.github.io/Logging_0781/kartor_geotiff/A 42783-2023 georefererad karta.tif", "A 42783-2023")</f>
        <v/>
      </c>
      <c r="AA55">
        <f>HYPERLINK("https://klasma.github.io/Logging_0781/klagomål/A 42783-2023 FSC-klagomål.docx", "A 42783-2023")</f>
        <v/>
      </c>
      <c r="AB55">
        <f>HYPERLINK("https://klasma.github.io/Logging_0781/klagomålsmail/A 42783-2023 FSC-klagomål mail.docx", "A 42783-2023")</f>
        <v/>
      </c>
      <c r="AC55">
        <f>HYPERLINK("https://klasma.github.io/Logging_0781/tillsyn/A 42783-2023 tillsynsbegäran.docx", "A 42783-2023")</f>
        <v/>
      </c>
      <c r="AD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46225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46225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46225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46225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46225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46225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46225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46225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46225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46225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46225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46225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46225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46225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46225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46225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46225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46225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17570-2022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44679</v>
      </c>
      <c r="E74" s="1" t="n">
        <v>46225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Borsttåg</t>
        </is>
      </c>
      <c r="W74">
        <f>HYPERLINK("https://klasma.github.io/Logging_0781/artfynd/A 17570-2022 artfynd.xlsx", "A 17570-2022")</f>
        <v/>
      </c>
      <c r="X74">
        <f>HYPERLINK("https://klasma.github.io/Logging_0781/kartor/A 17570-2022 karta.png", "A 17570-2022")</f>
        <v/>
      </c>
      <c r="Y74">
        <f>HYPERLINK("https://klasma.github.io/Logging_0781/kartor_geotiff/A 17570-2022 georefererad karta.tif", "A 17570-2022")</f>
        <v/>
      </c>
      <c r="AA74">
        <f>HYPERLINK("https://klasma.github.io/Logging_0781/klagomål/A 17570-2022 FSC-klagomål.docx", "A 17570-2022")</f>
        <v/>
      </c>
      <c r="AB74">
        <f>HYPERLINK("https://klasma.github.io/Logging_0781/klagomålsmail/A 17570-2022 FSC-klagomål mail.docx", "A 17570-2022")</f>
        <v/>
      </c>
      <c r="AC74">
        <f>HYPERLINK("https://klasma.github.io/Logging_0781/tillsyn/A 17570-2022 tillsynsbegäran.docx", "A 17570-2022")</f>
        <v/>
      </c>
      <c r="AD74">
        <f>HYPERLINK("https://klasma.github.io/Logging_0781/tillsynsmail/A 17570-2022 tillsynsbegäran mail.docx", "A 17570-2022")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46225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46225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46225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46225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46225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46225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46225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46225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46225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49077-2024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46225</v>
      </c>
      <c r="F84" t="inlineStr">
        <is>
          <t>KRONOBERGS LÄN</t>
        </is>
      </c>
      <c r="G84" t="inlineStr">
        <is>
          <t>LJUNGBY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Gröngöling</t>
        </is>
      </c>
      <c r="W84">
        <f>HYPERLINK("https://klasma.github.io/Logging_0781/artfynd/A 49077-2024 artfynd.xlsx", "A 49077-2024")</f>
        <v/>
      </c>
      <c r="X84">
        <f>HYPERLINK("https://klasma.github.io/Logging_0781/kartor/A 49077-2024 karta.png", "A 49077-2024")</f>
        <v/>
      </c>
      <c r="Y84">
        <f>HYPERLINK("https://klasma.github.io/Logging_0781/kartor_geotiff/A 49077-2024 georefererad karta.tif", "A 49077-2024")</f>
        <v/>
      </c>
      <c r="AA84">
        <f>HYPERLINK("https://klasma.github.io/Logging_0781/klagomål/A 49077-2024 FSC-klagomål.docx", "A 49077-2024")</f>
        <v/>
      </c>
      <c r="AB84">
        <f>HYPERLINK("https://klasma.github.io/Logging_0781/klagomålsmail/A 49077-2024 FSC-klagomål mail.docx", "A 49077-2024")</f>
        <v/>
      </c>
      <c r="AC84">
        <f>HYPERLINK("https://klasma.github.io/Logging_0781/tillsyn/A 49077-2024 tillsynsbegäran.docx", "A 49077-2024")</f>
        <v/>
      </c>
      <c r="AD84">
        <f>HYPERLINK("https://klasma.github.io/Logging_0781/tillsynsmail/A 49077-2024 tillsynsbegäran mail.docx", "A 49077-2024")</f>
        <v/>
      </c>
    </row>
    <row r="85" ht="15" customHeight="1">
      <c r="A85" t="inlineStr">
        <is>
          <t>A 30862-2025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46225</v>
      </c>
      <c r="F85" t="inlineStr">
        <is>
          <t>KRONOBERGS LÄN</t>
        </is>
      </c>
      <c r="G85" t="inlineStr">
        <is>
          <t>LJUNGBY</t>
        </is>
      </c>
      <c r="I85" t="n">
        <v>13.7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HYPERLINK("https://klasma.github.io/Logging_0781/artfynd/A 30862-2025 artfynd.xlsx", "A 30862-2025")</f>
        <v/>
      </c>
      <c r="X85">
        <f>HYPERLINK("https://klasma.github.io/Logging_0781/kartor/A 30862-2025 karta.png", "A 30862-2025")</f>
        <v/>
      </c>
      <c r="Y85">
        <f>HYPERLINK("https://klasma.github.io/Logging_0781/kartor_geotiff/A 30862-2025 georefererad karta.tif", "A 30862-2025")</f>
        <v/>
      </c>
      <c r="AA85">
        <f>HYPERLINK("https://klasma.github.io/Logging_0781/klagomål/A 30862-2025 FSC-klagomål.docx", "A 30862-2025")</f>
        <v/>
      </c>
      <c r="AB85">
        <f>HYPERLINK("https://klasma.github.io/Logging_0781/klagomålsmail/A 30862-2025 FSC-klagomål mail.docx", "A 30862-2025")</f>
        <v/>
      </c>
      <c r="AC85">
        <f>HYPERLINK("https://klasma.github.io/Logging_0781/tillsyn/A 30862-2025 tillsynsbegäran.docx", "A 30862-2025")</f>
        <v/>
      </c>
      <c r="AD85">
        <f>HYPERLINK("https://klasma.github.io/Logging_0781/tillsynsmail/A 30862-2025 tillsynsbegäran mail.docx", "A 30862-2025")</f>
        <v/>
      </c>
    </row>
    <row r="86" ht="15" customHeight="1">
      <c r="A86" t="inlineStr">
        <is>
          <t>A 31604-2025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46225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31604-2025 artfynd.xlsx", "A 31604-2025")</f>
        <v/>
      </c>
      <c r="X86">
        <f>HYPERLINK("https://klasma.github.io/Logging_0781/kartor/A 31604-2025 karta.png", "A 31604-2025")</f>
        <v/>
      </c>
      <c r="Y86">
        <f>HYPERLINK("https://klasma.github.io/Logging_0781/kartor_geotiff/A 31604-2025 georefererad karta.tif", "A 31604-2025")</f>
        <v/>
      </c>
      <c r="AA86">
        <f>HYPERLINK("https://klasma.github.io/Logging_0781/klagomål/A 31604-2025 FSC-klagomål.docx", "A 31604-2025")</f>
        <v/>
      </c>
      <c r="AB86">
        <f>HYPERLINK("https://klasma.github.io/Logging_0781/klagomålsmail/A 31604-2025 FSC-klagomål mail.docx", "A 31604-2025")</f>
        <v/>
      </c>
      <c r="AC86">
        <f>HYPERLINK("https://klasma.github.io/Logging_0781/tillsyn/A 31604-2025 tillsynsbegäran.docx", "A 31604-2025")</f>
        <v/>
      </c>
      <c r="AD86">
        <f>HYPERLINK("https://klasma.github.io/Logging_0781/tillsynsmail/A 31604-2025 tillsynsbegäran mail.docx", "A 31604-2025")</f>
        <v/>
      </c>
    </row>
    <row r="87" ht="15" customHeight="1">
      <c r="A87" t="inlineStr">
        <is>
          <t>A 9911-2023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44985</v>
      </c>
      <c r="E87" s="1" t="n">
        <v>46225</v>
      </c>
      <c r="F87" t="inlineStr">
        <is>
          <t>KRONOBERGS LÄN</t>
        </is>
      </c>
      <c r="G87" t="inlineStr">
        <is>
          <t>LJUNGBY</t>
        </is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Spindelblomster</t>
        </is>
      </c>
      <c r="W87">
        <f>HYPERLINK("https://klasma.github.io/Logging_0781/artfynd/A 9911-2023 artfynd.xlsx", "A 9911-2023")</f>
        <v/>
      </c>
      <c r="X87">
        <f>HYPERLINK("https://klasma.github.io/Logging_0781/kartor/A 9911-2023 karta.png", "A 9911-2023")</f>
        <v/>
      </c>
      <c r="Y87">
        <f>HYPERLINK("https://klasma.github.io/Logging_0781/kartor_geotiff/A 9911-2023 georefererad karta.tif", "A 9911-2023")</f>
        <v/>
      </c>
      <c r="AA87">
        <f>HYPERLINK("https://klasma.github.io/Logging_0781/klagomål/A 9911-2023 FSC-klagomål.docx", "A 9911-2023")</f>
        <v/>
      </c>
      <c r="AB87">
        <f>HYPERLINK("https://klasma.github.io/Logging_0781/klagomålsmail/A 9911-2023 FSC-klagomål mail.docx", "A 9911-2023")</f>
        <v/>
      </c>
      <c r="AC87">
        <f>HYPERLINK("https://klasma.github.io/Logging_0781/tillsyn/A 9911-2023 tillsynsbegäran.docx", "A 9911-2023")</f>
        <v/>
      </c>
      <c r="AD87">
        <f>HYPERLINK("https://klasma.github.io/Logging_0781/tillsynsmail/A 9911-2023 tillsynsbegäran mail.docx", "A 9911-2023")</f>
        <v/>
      </c>
    </row>
    <row r="88" ht="15" customHeight="1">
      <c r="A88" t="inlineStr">
        <is>
          <t>A 36514-2025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45869</v>
      </c>
      <c r="E88" s="1" t="n">
        <v>46225</v>
      </c>
      <c r="F88" t="inlineStr">
        <is>
          <t>KRONOBERGS LÄN</t>
        </is>
      </c>
      <c r="G88" t="inlineStr">
        <is>
          <t>LJUNGBY</t>
        </is>
      </c>
      <c r="H88" t="inlineStr">
        <is>
          <t>Kyrkan</t>
        </is>
      </c>
      <c r="I88" t="n">
        <v>6.2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3</v>
      </c>
      <c r="U88" t="n">
        <v>3</v>
      </c>
      <c r="V88" s="2" t="inlineStr">
        <is>
          <t>Kambräken</t>
        </is>
      </c>
      <c r="W88">
        <f>HYPERLINK("https://klasma.github.io/Logging_0781/artfynd/A 36514-2025 artfynd.xlsx", "A 36514-2025")</f>
        <v/>
      </c>
      <c r="X88">
        <f>HYPERLINK("https://klasma.github.io/Logging_0781/kartor/A 36514-2025 karta.png", "A 36514-2025")</f>
        <v/>
      </c>
      <c r="Y88">
        <f>HYPERLINK("https://klasma.github.io/Logging_0781/kartor_geotiff/A 36514-2025 georefererad karta.tif", "A 36514-2025")</f>
        <v/>
      </c>
      <c r="AA88">
        <f>HYPERLINK("https://klasma.github.io/Logging_0781/klagomål/A 36514-2025 FSC-klagomål.docx", "A 36514-2025")</f>
        <v/>
      </c>
      <c r="AB88">
        <f>HYPERLINK("https://klasma.github.io/Logging_0781/klagomålsmail/A 36514-2025 FSC-klagomål mail.docx", "A 36514-2025")</f>
        <v/>
      </c>
      <c r="AC88">
        <f>HYPERLINK("https://klasma.github.io/Logging_0781/tillsyn/A 36514-2025 tillsynsbegäran.docx", "A 36514-2025")</f>
        <v/>
      </c>
      <c r="AD88">
        <f>HYPERLINK("https://klasma.github.io/Logging_0781/tillsynsmail/A 36514-2025 tillsynsbegäran mail.docx", "A 36514-2025")</f>
        <v/>
      </c>
    </row>
    <row r="89" ht="15" customHeight="1">
      <c r="A89" t="inlineStr">
        <is>
          <t>A 63304-2023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46225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Borsttåg</t>
        </is>
      </c>
      <c r="W89">
        <f>HYPERLINK("https://klasma.github.io/Logging_0781/artfynd/A 63304-2023 artfynd.xlsx", "A 63304-2023")</f>
        <v/>
      </c>
      <c r="X89">
        <f>HYPERLINK("https://klasma.github.io/Logging_0781/kartor/A 63304-2023 karta.png", "A 63304-2023")</f>
        <v/>
      </c>
      <c r="Y89">
        <f>HYPERLINK("https://klasma.github.io/Logging_0781/kartor_geotiff/A 63304-2023 georefererad karta.tif", "A 63304-2023")</f>
        <v/>
      </c>
      <c r="AA89">
        <f>HYPERLINK("https://klasma.github.io/Logging_0781/klagomål/A 63304-2023 FSC-klagomål.docx", "A 63304-2023")</f>
        <v/>
      </c>
      <c r="AB89">
        <f>HYPERLINK("https://klasma.github.io/Logging_0781/klagomålsmail/A 63304-2023 FSC-klagomål mail.docx", "A 63304-2023")</f>
        <v/>
      </c>
      <c r="AC89">
        <f>HYPERLINK("https://klasma.github.io/Logging_0781/tillsyn/A 63304-2023 tillsynsbegäran.docx", "A 63304-2023")</f>
        <v/>
      </c>
      <c r="AD89">
        <f>HYPERLINK("https://klasma.github.io/Logging_0781/tillsynsmail/A 63304-2023 tillsynsbegäran mail.docx", "A 63304-2023")</f>
        <v/>
      </c>
    </row>
    <row r="90" ht="15" customHeight="1">
      <c r="A90" t="inlineStr">
        <is>
          <t>A 56832-2022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46225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Svinrot</t>
        </is>
      </c>
      <c r="W90">
        <f>HYPERLINK("https://klasma.github.io/Logging_0781/artfynd/A 56832-2022 artfynd.xlsx", "A 56832-2022")</f>
        <v/>
      </c>
      <c r="X90">
        <f>HYPERLINK("https://klasma.github.io/Logging_0781/kartor/A 56832-2022 karta.png", "A 56832-2022")</f>
        <v/>
      </c>
      <c r="Y90">
        <f>HYPERLINK("https://klasma.github.io/Logging_0781/kartor_geotiff/A 56832-2022 georefererad karta.tif", "A 56832-2022")</f>
        <v/>
      </c>
      <c r="AA90">
        <f>HYPERLINK("https://klasma.github.io/Logging_0781/klagomål/A 56832-2022 FSC-klagomål.docx", "A 56832-2022")</f>
        <v/>
      </c>
      <c r="AB90">
        <f>HYPERLINK("https://klasma.github.io/Logging_0781/klagomålsmail/A 56832-2022 FSC-klagomål mail.docx", "A 56832-2022")</f>
        <v/>
      </c>
      <c r="AC90">
        <f>HYPERLINK("https://klasma.github.io/Logging_0781/tillsyn/A 56832-2022 tillsynsbegäran.docx", "A 56832-2022")</f>
        <v/>
      </c>
      <c r="AD90">
        <f>HYPERLINK("https://klasma.github.io/Logging_0781/tillsynsmail/A 56832-2022 tillsynsbegäran mail.docx", "A 56832-2022")</f>
        <v/>
      </c>
    </row>
    <row r="91" ht="15" customHeight="1">
      <c r="A91" t="inlineStr">
        <is>
          <t>A 51284-2021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46225</v>
      </c>
      <c r="F91" t="inlineStr">
        <is>
          <t>KRONOBERGS LÄN</t>
        </is>
      </c>
      <c r="G91" t="inlineStr">
        <is>
          <t>LJUNGBY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HYPERLINK("https://klasma.github.io/Logging_0781/artfynd/A 51284-2021 artfynd.xlsx", "A 51284-2021")</f>
        <v/>
      </c>
      <c r="X91">
        <f>HYPERLINK("https://klasma.github.io/Logging_0781/kartor/A 51284-2021 karta.png", "A 51284-2021")</f>
        <v/>
      </c>
      <c r="Y91">
        <f>HYPERLINK("https://klasma.github.io/Logging_0781/kartor_geotiff/A 51284-2021 georefererad karta.tif", "A 51284-2021")</f>
        <v/>
      </c>
      <c r="AA91">
        <f>HYPERLINK("https://klasma.github.io/Logging_0781/klagomål/A 51284-2021 FSC-klagomål.docx", "A 51284-2021")</f>
        <v/>
      </c>
      <c r="AB91">
        <f>HYPERLINK("https://klasma.github.io/Logging_0781/klagomålsmail/A 51284-2021 FSC-klagomål mail.docx", "A 51284-2021")</f>
        <v/>
      </c>
      <c r="AC91">
        <f>HYPERLINK("https://klasma.github.io/Logging_0781/tillsyn/A 51284-2021 tillsynsbegäran.docx", "A 51284-2021")</f>
        <v/>
      </c>
      <c r="AD91">
        <f>HYPERLINK("https://klasma.github.io/Logging_0781/tillsynsmail/A 51284-2021 tillsynsbegäran mail.docx", "A 51284-2021")</f>
        <v/>
      </c>
      <c r="AE91">
        <f>HYPERLINK("https://klasma.github.io/Logging_0781/fåglar/A 51284-2021 prioriterade fågelarter.docx", "A 51284-2021")</f>
        <v/>
      </c>
    </row>
    <row r="92" ht="15" customHeight="1">
      <c r="A92" t="inlineStr">
        <is>
          <t>A 37188-2025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46225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Gullpudra</t>
        </is>
      </c>
      <c r="W92">
        <f>HYPERLINK("https://klasma.github.io/Logging_0781/artfynd/A 37188-2025 artfynd.xlsx", "A 37188-2025")</f>
        <v/>
      </c>
      <c r="X92">
        <f>HYPERLINK("https://klasma.github.io/Logging_0781/kartor/A 37188-2025 karta.png", "A 37188-2025")</f>
        <v/>
      </c>
      <c r="Y92">
        <f>HYPERLINK("https://klasma.github.io/Logging_0781/kartor_geotiff/A 37188-2025 georefererad karta.tif", "A 37188-2025")</f>
        <v/>
      </c>
      <c r="AA92">
        <f>HYPERLINK("https://klasma.github.io/Logging_0781/klagomål/A 37188-2025 FSC-klagomål.docx", "A 37188-2025")</f>
        <v/>
      </c>
      <c r="AB92">
        <f>HYPERLINK("https://klasma.github.io/Logging_0781/klagomålsmail/A 37188-2025 FSC-klagomål mail.docx", "A 37188-2025")</f>
        <v/>
      </c>
      <c r="AC92">
        <f>HYPERLINK("https://klasma.github.io/Logging_0781/tillsyn/A 37188-2025 tillsynsbegäran.docx", "A 37188-2025")</f>
        <v/>
      </c>
      <c r="AD92">
        <f>HYPERLINK("https://klasma.github.io/Logging_0781/tillsynsmail/A 37188-2025 tillsynsbegäran mail.docx", "A 37188-2025")</f>
        <v/>
      </c>
    </row>
    <row r="93" ht="15" customHeight="1">
      <c r="A93" t="inlineStr">
        <is>
          <t>A 15671-2026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46106</v>
      </c>
      <c r="E93" s="1" t="n">
        <v>46225</v>
      </c>
      <c r="F93" t="inlineStr">
        <is>
          <t>KRONOBERGS LÄN</t>
        </is>
      </c>
      <c r="G93" t="inlineStr">
        <is>
          <t>LJUNGBY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Tofsmes</t>
        </is>
      </c>
      <c r="W93">
        <f>HYPERLINK("https://klasma.github.io/Logging_0781/artfynd/A 15671-2026 artfynd.xlsx", "A 15671-2026")</f>
        <v/>
      </c>
      <c r="X93">
        <f>HYPERLINK("https://klasma.github.io/Logging_0781/kartor/A 15671-2026 karta.png", "A 15671-2026")</f>
        <v/>
      </c>
      <c r="Y93">
        <f>HYPERLINK("https://klasma.github.io/Logging_0781/kartor_geotiff/A 15671-2026 georefererad karta.tif", "A 15671-2026")</f>
        <v/>
      </c>
      <c r="AA93">
        <f>HYPERLINK("https://klasma.github.io/Logging_0781/klagomål/A 15671-2026 FSC-klagomål.docx", "A 15671-2026")</f>
        <v/>
      </c>
      <c r="AB93">
        <f>HYPERLINK("https://klasma.github.io/Logging_0781/klagomålsmail/A 15671-2026 FSC-klagomål mail.docx", "A 15671-2026")</f>
        <v/>
      </c>
      <c r="AC93">
        <f>HYPERLINK("https://klasma.github.io/Logging_0781/tillsyn/A 15671-2026 tillsynsbegäran.docx", "A 15671-2026")</f>
        <v/>
      </c>
      <c r="AD93">
        <f>HYPERLINK("https://klasma.github.io/Logging_0781/tillsynsmail/A 15671-2026 tillsynsbegäran mail.docx", "A 15671-2026")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46225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54602-2024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46225</v>
      </c>
      <c r="F95" t="inlineStr">
        <is>
          <t>KRONOBERGS LÄN</t>
        </is>
      </c>
      <c r="G95" t="inlineStr">
        <is>
          <t>LJUNGBY</t>
        </is>
      </c>
      <c r="I95" t="n">
        <v>1.5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Fällmossa</t>
        </is>
      </c>
      <c r="W95">
        <f>HYPERLINK("https://klasma.github.io/Logging_0781/artfynd/A 54602-2024 artfynd.xlsx", "A 54602-2024")</f>
        <v/>
      </c>
      <c r="X95">
        <f>HYPERLINK("https://klasma.github.io/Logging_0781/kartor/A 54602-2024 karta.png", "A 54602-2024")</f>
        <v/>
      </c>
      <c r="Y95">
        <f>HYPERLINK("https://klasma.github.io/Logging_0781/kartor_geotiff/A 54602-2024 georefererad karta.tif", "A 54602-2024")</f>
        <v/>
      </c>
      <c r="AA95">
        <f>HYPERLINK("https://klasma.github.io/Logging_0781/klagomål/A 54602-2024 FSC-klagomål.docx", "A 54602-2024")</f>
        <v/>
      </c>
      <c r="AB95">
        <f>HYPERLINK("https://klasma.github.io/Logging_0781/klagomålsmail/A 54602-2024 FSC-klagomål mail.docx", "A 54602-2024")</f>
        <v/>
      </c>
      <c r="AC95">
        <f>HYPERLINK("https://klasma.github.io/Logging_0781/tillsyn/A 54602-2024 tillsynsbegäran.docx", "A 54602-2024")</f>
        <v/>
      </c>
      <c r="AD95">
        <f>HYPERLINK("https://klasma.github.io/Logging_0781/tillsynsmail/A 54602-2024 tillsynsbegäran mail.docx", "A 54602-2024")</f>
        <v/>
      </c>
    </row>
    <row r="96" ht="15" customHeight="1">
      <c r="A96" t="inlineStr">
        <is>
          <t>A 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44928</v>
      </c>
      <c r="E96" s="1" t="n">
        <v>46225</v>
      </c>
      <c r="F96" t="inlineStr">
        <is>
          <t>KRONOBERGS LÄN</t>
        </is>
      </c>
      <c r="G96" t="inlineStr">
        <is>
          <t>LJUNGBY</t>
        </is>
      </c>
      <c r="I96" t="n">
        <v>1.9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HYPERLINK("https://klasma.github.io/Logging_0781/artfynd/A 205-2023 artfynd.xlsx", "A 205-2023")</f>
        <v/>
      </c>
      <c r="X96">
        <f>HYPERLINK("https://klasma.github.io/Logging_0781/kartor/A 205-2023 karta.png", "A 205-2023")</f>
        <v/>
      </c>
      <c r="Y96">
        <f>HYPERLINK("https://klasma.github.io/Logging_0781/kartor_geotiff/A 205-2023 georefererad karta.tif", "A 205-2023")</f>
        <v/>
      </c>
      <c r="AA96">
        <f>HYPERLINK("https://klasma.github.io/Logging_0781/klagomål/A 205-2023 FSC-klagomål.docx", "A 205-2023")</f>
        <v/>
      </c>
      <c r="AB96">
        <f>HYPERLINK("https://klasma.github.io/Logging_0781/klagomålsmail/A 205-2023 FSC-klagomål mail.docx", "A 205-2023")</f>
        <v/>
      </c>
      <c r="AC96">
        <f>HYPERLINK("https://klasma.github.io/Logging_0781/tillsyn/A 205-2023 tillsynsbegäran.docx", "A 205-2023")</f>
        <v/>
      </c>
      <c r="AD96">
        <f>HYPERLINK("https://klasma.github.io/Logging_0781/tillsynsmail/A 205-2023 tillsynsbegäran mail.docx", "A 205-2023")</f>
        <v/>
      </c>
    </row>
    <row r="97" ht="15" customHeight="1">
      <c r="A97" t="inlineStr">
        <is>
          <t>A 40560-2024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45555</v>
      </c>
      <c r="E97" s="1" t="n">
        <v>46225</v>
      </c>
      <c r="F97" t="inlineStr">
        <is>
          <t>KRONOBERGS LÄN</t>
        </is>
      </c>
      <c r="G97" t="inlineStr">
        <is>
          <t>LJUNGBY</t>
        </is>
      </c>
      <c r="I97" t="n">
        <v>3.4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Talltita</t>
        </is>
      </c>
      <c r="W97">
        <f>HYPERLINK("https://klasma.github.io/Logging_0781/artfynd/A 40560-2024 artfynd.xlsx", "A 40560-2024")</f>
        <v/>
      </c>
      <c r="X97">
        <f>HYPERLINK("https://klasma.github.io/Logging_0781/kartor/A 40560-2024 karta.png", "A 40560-2024")</f>
        <v/>
      </c>
      <c r="Y97">
        <f>HYPERLINK("https://klasma.github.io/Logging_0781/kartor_geotiff/A 40560-2024 georefererad karta.tif", "A 40560-2024")</f>
        <v/>
      </c>
      <c r="AA97">
        <f>HYPERLINK("https://klasma.github.io/Logging_0781/klagomål/A 40560-2024 FSC-klagomål.docx", "A 40560-2024")</f>
        <v/>
      </c>
      <c r="AB97">
        <f>HYPERLINK("https://klasma.github.io/Logging_0781/klagomålsmail/A 40560-2024 FSC-klagomål mail.docx", "A 40560-2024")</f>
        <v/>
      </c>
      <c r="AC97">
        <f>HYPERLINK("https://klasma.github.io/Logging_0781/tillsyn/A 40560-2024 tillsynsbegäran.docx", "A 40560-2024")</f>
        <v/>
      </c>
      <c r="AD97">
        <f>HYPERLINK("https://klasma.github.io/Logging_0781/tillsynsmail/A 40560-2024 tillsynsbegäran mail.docx", "A 40560-2024")</f>
        <v/>
      </c>
      <c r="AE97">
        <f>HYPERLINK("https://klasma.github.io/Logging_0781/fåglar/A 40560-2024 prioriterade fågelarter.docx", "A 40560-2024")</f>
        <v/>
      </c>
    </row>
    <row r="98" ht="15" customHeight="1">
      <c r="A98" t="inlineStr">
        <is>
          <t>A 49087-2025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46225</v>
      </c>
      <c r="F98" t="inlineStr">
        <is>
          <t>KRONOBERGS LÄN</t>
        </is>
      </c>
      <c r="G98" t="inlineStr">
        <is>
          <t>LJUNGBY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HYPERLINK("https://klasma.github.io/Logging_0781/artfynd/A 49087-2025 artfynd.xlsx", "A 49087-2025")</f>
        <v/>
      </c>
      <c r="X98">
        <f>HYPERLINK("https://klasma.github.io/Logging_0781/kartor/A 49087-2025 karta.png", "A 49087-2025")</f>
        <v/>
      </c>
      <c r="Y98">
        <f>HYPERLINK("https://klasma.github.io/Logging_0781/kartor_geotiff/A 49087-2025 georefererad karta.tif", "A 49087-2025")</f>
        <v/>
      </c>
      <c r="AA98">
        <f>HYPERLINK("https://klasma.github.io/Logging_0781/klagomål/A 49087-2025 FSC-klagomål.docx", "A 49087-2025")</f>
        <v/>
      </c>
      <c r="AB98">
        <f>HYPERLINK("https://klasma.github.io/Logging_0781/klagomålsmail/A 49087-2025 FSC-klagomål mail.docx", "A 49087-2025")</f>
        <v/>
      </c>
      <c r="AC98">
        <f>HYPERLINK("https://klasma.github.io/Logging_0781/tillsyn/A 49087-2025 tillsynsbegäran.docx", "A 49087-2025")</f>
        <v/>
      </c>
      <c r="AD98">
        <f>HYPERLINK("https://klasma.github.io/Logging_0781/tillsynsmail/A 49087-2025 tillsynsbegäran mail.docx", "A 49087-2025")</f>
        <v/>
      </c>
    </row>
    <row r="99" ht="15" customHeight="1">
      <c r="A99" t="inlineStr">
        <is>
          <t>A 32047-2024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46225</v>
      </c>
      <c r="F99" t="inlineStr">
        <is>
          <t>KRONOBERGS LÄN</t>
        </is>
      </c>
      <c r="G99" t="inlineStr">
        <is>
          <t>LJUNGBY</t>
        </is>
      </c>
      <c r="I99" t="n">
        <v>1.9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HYPERLINK("https://klasma.github.io/Logging_0781/artfynd/A 32047-2024 artfynd.xlsx", "A 32047-2024")</f>
        <v/>
      </c>
      <c r="X99">
        <f>HYPERLINK("https://klasma.github.io/Logging_0781/kartor/A 32047-2024 karta.png", "A 32047-2024")</f>
        <v/>
      </c>
      <c r="Y99">
        <f>HYPERLINK("https://klasma.github.io/Logging_0781/kartor_geotiff/A 32047-2024 georefererad karta.tif", "A 32047-2024")</f>
        <v/>
      </c>
      <c r="Z99">
        <f>HYPERLINK("https://klasma.github.io/Logging_0781/knärot/A 32047-2024 karta knärot.png", "A 32047-2024")</f>
        <v/>
      </c>
      <c r="AA99">
        <f>HYPERLINK("https://klasma.github.io/Logging_0781/klagomål/A 32047-2024 FSC-klagomål.docx", "A 32047-2024")</f>
        <v/>
      </c>
      <c r="AB99">
        <f>HYPERLINK("https://klasma.github.io/Logging_0781/klagomålsmail/A 32047-2024 FSC-klagomål mail.docx", "A 32047-2024")</f>
        <v/>
      </c>
      <c r="AC99">
        <f>HYPERLINK("https://klasma.github.io/Logging_0781/tillsyn/A 32047-2024 tillsynsbegäran.docx", "A 32047-2024")</f>
        <v/>
      </c>
      <c r="AD99">
        <f>HYPERLINK("https://klasma.github.io/Logging_0781/tillsynsmail/A 32047-2024 tillsynsbegäran mail.docx", "A 32047-2024")</f>
        <v/>
      </c>
    </row>
    <row r="100" ht="15" customHeight="1">
      <c r="A100" t="inlineStr">
        <is>
          <t>A 26064-2025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46225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Brunpudrad nållav</t>
        </is>
      </c>
      <c r="W100">
        <f>HYPERLINK("https://klasma.github.io/Logging_0781/artfynd/A 26064-2025 artfynd.xlsx", "A 26064-2025")</f>
        <v/>
      </c>
      <c r="X100">
        <f>HYPERLINK("https://klasma.github.io/Logging_0781/kartor/A 26064-2025 karta.png", "A 26064-2025")</f>
        <v/>
      </c>
      <c r="Y100">
        <f>HYPERLINK("https://klasma.github.io/Logging_0781/kartor_geotiff/A 26064-2025 georefererad karta.tif", "A 26064-2025")</f>
        <v/>
      </c>
      <c r="AA100">
        <f>HYPERLINK("https://klasma.github.io/Logging_0781/klagomål/A 26064-2025 FSC-klagomål.docx", "A 26064-2025")</f>
        <v/>
      </c>
      <c r="AB100">
        <f>HYPERLINK("https://klasma.github.io/Logging_0781/klagomålsmail/A 26064-2025 FSC-klagomål mail.docx", "A 26064-2025")</f>
        <v/>
      </c>
      <c r="AC100">
        <f>HYPERLINK("https://klasma.github.io/Logging_0781/tillsyn/A 26064-2025 tillsynsbegäran.docx", "A 26064-2025")</f>
        <v/>
      </c>
      <c r="AD100">
        <f>HYPERLINK("https://klasma.github.io/Logging_0781/tillsynsmail/A 26064-2025 tillsynsbegäran mail.docx", "A 26064-2025")</f>
        <v/>
      </c>
    </row>
    <row r="101" ht="15" customHeight="1">
      <c r="A101" t="inlineStr">
        <is>
          <t>A 62153-2025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46225</v>
      </c>
      <c r="F101" t="inlineStr">
        <is>
          <t>KRONOBERGS LÄN</t>
        </is>
      </c>
      <c r="G101" t="inlineStr">
        <is>
          <t>LJUNGBY</t>
        </is>
      </c>
      <c r="I101" t="n">
        <v>0.5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Havsörn</t>
        </is>
      </c>
      <c r="W101">
        <f>HYPERLINK("https://klasma.github.io/Logging_0781/artfynd/A 62153-2025 artfynd.xlsx", "A 62153-2025")</f>
        <v/>
      </c>
      <c r="X101">
        <f>HYPERLINK("https://klasma.github.io/Logging_0781/kartor/A 62153-2025 karta.png", "A 62153-2025")</f>
        <v/>
      </c>
      <c r="Y101">
        <f>HYPERLINK("https://klasma.github.io/Logging_0781/kartor_geotiff/A 62153-2025 georefererad karta.tif", "A 62153-2025")</f>
        <v/>
      </c>
      <c r="AA101">
        <f>HYPERLINK("https://klasma.github.io/Logging_0781/klagomål/A 62153-2025 FSC-klagomål.docx", "A 62153-2025")</f>
        <v/>
      </c>
      <c r="AB101">
        <f>HYPERLINK("https://klasma.github.io/Logging_0781/klagomålsmail/A 62153-2025 FSC-klagomål mail.docx", "A 62153-2025")</f>
        <v/>
      </c>
      <c r="AC101">
        <f>HYPERLINK("https://klasma.github.io/Logging_0781/tillsyn/A 62153-2025 tillsynsbegäran.docx", "A 62153-2025")</f>
        <v/>
      </c>
      <c r="AD101">
        <f>HYPERLINK("https://klasma.github.io/Logging_0781/tillsynsmail/A 62153-2025 tillsynsbegäran mail.docx", "A 62153-2025")</f>
        <v/>
      </c>
      <c r="AE101">
        <f>HYPERLINK("https://klasma.github.io/Logging_0781/fåglar/A 62153-2025 prioriterade fågelarter.docx", "A 62153-2025")</f>
        <v/>
      </c>
    </row>
    <row r="102" ht="15" customHeight="1">
      <c r="A102" t="inlineStr">
        <is>
          <t>A 13387-2022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46225</v>
      </c>
      <c r="F102" t="inlineStr">
        <is>
          <t>KRONOBERGS LÄN</t>
        </is>
      </c>
      <c r="G102" t="inlineStr">
        <is>
          <t>LJUNGBY</t>
        </is>
      </c>
      <c r="I102" t="n">
        <v>1.4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Borsttåg</t>
        </is>
      </c>
      <c r="W102">
        <f>HYPERLINK("https://klasma.github.io/Logging_0781/artfynd/A 13387-2022 artfynd.xlsx", "A 13387-2022")</f>
        <v/>
      </c>
      <c r="X102">
        <f>HYPERLINK("https://klasma.github.io/Logging_0781/kartor/A 13387-2022 karta.png", "A 13387-2022")</f>
        <v/>
      </c>
      <c r="Y102">
        <f>HYPERLINK("https://klasma.github.io/Logging_0781/kartor_geotiff/A 13387-2022 georefererad karta.tif", "A 13387-2022")</f>
        <v/>
      </c>
      <c r="AA102">
        <f>HYPERLINK("https://klasma.github.io/Logging_0781/klagomål/A 13387-2022 FSC-klagomål.docx", "A 13387-2022")</f>
        <v/>
      </c>
      <c r="AB102">
        <f>HYPERLINK("https://klasma.github.io/Logging_0781/klagomålsmail/A 13387-2022 FSC-klagomål mail.docx", "A 13387-2022")</f>
        <v/>
      </c>
      <c r="AC102">
        <f>HYPERLINK("https://klasma.github.io/Logging_0781/tillsyn/A 13387-2022 tillsynsbegäran.docx", "A 13387-2022")</f>
        <v/>
      </c>
      <c r="AD102">
        <f>HYPERLINK("https://klasma.github.io/Logging_0781/tillsynsmail/A 13387-2022 tillsynsbegäran mail.docx", "A 13387-2022")</f>
        <v/>
      </c>
    </row>
    <row r="103" ht="15" customHeight="1">
      <c r="A103" t="inlineStr">
        <is>
          <t>A 15426-2023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45020</v>
      </c>
      <c r="E103" s="1" t="n">
        <v>46225</v>
      </c>
      <c r="F103" t="inlineStr">
        <is>
          <t>KRONOBERGS LÄN</t>
        </is>
      </c>
      <c r="G103" t="inlineStr">
        <is>
          <t>LJUNGBY</t>
        </is>
      </c>
      <c r="H103" t="inlineStr">
        <is>
          <t>Kyrkan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Myskmadra</t>
        </is>
      </c>
      <c r="W103">
        <f>HYPERLINK("https://klasma.github.io/Logging_0781/artfynd/A 15426-2023 artfynd.xlsx", "A 15426-2023")</f>
        <v/>
      </c>
      <c r="X103">
        <f>HYPERLINK("https://klasma.github.io/Logging_0781/kartor/A 15426-2023 karta.png", "A 15426-2023")</f>
        <v/>
      </c>
      <c r="Y103">
        <f>HYPERLINK("https://klasma.github.io/Logging_0781/kartor_geotiff/A 15426-2023 georefererad karta.tif", "A 15426-2023")</f>
        <v/>
      </c>
      <c r="AA103">
        <f>HYPERLINK("https://klasma.github.io/Logging_0781/klagomål/A 15426-2023 FSC-klagomål.docx", "A 15426-2023")</f>
        <v/>
      </c>
      <c r="AB103">
        <f>HYPERLINK("https://klasma.github.io/Logging_0781/klagomålsmail/A 15426-2023 FSC-klagomål mail.docx", "A 15426-2023")</f>
        <v/>
      </c>
      <c r="AC103">
        <f>HYPERLINK("https://klasma.github.io/Logging_0781/tillsyn/A 15426-2023 tillsynsbegäran.docx", "A 15426-2023")</f>
        <v/>
      </c>
      <c r="AD103">
        <f>HYPERLINK("https://klasma.github.io/Logging_0781/tillsynsmail/A 15426-2023 tillsynsbegäran mail.docx", "A 15426-2023")</f>
        <v/>
      </c>
    </row>
    <row r="104" ht="15" customHeight="1">
      <c r="A104" t="inlineStr">
        <is>
          <t>A 14496-2023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46225</v>
      </c>
      <c r="F104" t="inlineStr">
        <is>
          <t>KRONOBERGS LÄN</t>
        </is>
      </c>
      <c r="G104" t="inlineStr">
        <is>
          <t>LJUNGBY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Bäckbräsma</t>
        </is>
      </c>
      <c r="W104">
        <f>HYPERLINK("https://klasma.github.io/Logging_0781/artfynd/A 14496-2023 artfynd.xlsx", "A 14496-2023")</f>
        <v/>
      </c>
      <c r="X104">
        <f>HYPERLINK("https://klasma.github.io/Logging_0781/kartor/A 14496-2023 karta.png", "A 14496-2023")</f>
        <v/>
      </c>
      <c r="Y104">
        <f>HYPERLINK("https://klasma.github.io/Logging_0781/kartor_geotiff/A 14496-2023 georefererad karta.tif", "A 14496-2023")</f>
        <v/>
      </c>
      <c r="AA104">
        <f>HYPERLINK("https://klasma.github.io/Logging_0781/klagomål/A 14496-2023 FSC-klagomål.docx", "A 14496-2023")</f>
        <v/>
      </c>
      <c r="AB104">
        <f>HYPERLINK("https://klasma.github.io/Logging_0781/klagomålsmail/A 14496-2023 FSC-klagomål mail.docx", "A 14496-2023")</f>
        <v/>
      </c>
      <c r="AC104">
        <f>HYPERLINK("https://klasma.github.io/Logging_0781/tillsyn/A 14496-2023 tillsynsbegäran.docx", "A 14496-2023")</f>
        <v/>
      </c>
      <c r="AD104">
        <f>HYPERLINK("https://klasma.github.io/Logging_0781/tillsynsmail/A 14496-2023 tillsynsbegäran mail.docx", "A 14496-2023")</f>
        <v/>
      </c>
    </row>
    <row r="105" ht="15" customHeight="1">
      <c r="A105" t="inlineStr">
        <is>
          <t>A 28134-2026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46195</v>
      </c>
      <c r="E105" s="1" t="n">
        <v>46225</v>
      </c>
      <c r="F105" t="inlineStr">
        <is>
          <t>KRONOBERGS LÄN</t>
        </is>
      </c>
      <c r="G105" t="inlineStr">
        <is>
          <t>LJUNGBY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HYPERLINK("https://klasma.github.io/Logging_0781/artfynd/A 28134-2026 artfynd.xlsx", "A 28134-2026")</f>
        <v/>
      </c>
      <c r="X105">
        <f>HYPERLINK("https://klasma.github.io/Logging_0781/kartor/A 28134-2026 karta.png", "A 28134-2026")</f>
        <v/>
      </c>
      <c r="Y105">
        <f>HYPERLINK("https://klasma.github.io/Logging_0781/kartor_geotiff/A 28134-2026 georefererad karta.tif", "A 28134-2026")</f>
        <v/>
      </c>
      <c r="AA105">
        <f>HYPERLINK("https://klasma.github.io/Logging_0781/klagomål/A 28134-2026 FSC-klagomål.docx", "A 28134-2026")</f>
        <v/>
      </c>
      <c r="AB105">
        <f>HYPERLINK("https://klasma.github.io/Logging_0781/klagomålsmail/A 28134-2026 FSC-klagomål mail.docx", "A 28134-2026")</f>
        <v/>
      </c>
      <c r="AC105">
        <f>HYPERLINK("https://klasma.github.io/Logging_0781/tillsyn/A 28134-2026 tillsynsbegäran.docx", "A 28134-2026")</f>
        <v/>
      </c>
      <c r="AD105">
        <f>HYPERLINK("https://klasma.github.io/Logging_0781/tillsynsmail/A 28134-2026 tillsynsbegäran mail.docx", "A 28134-2026")</f>
        <v/>
      </c>
      <c r="AE105">
        <f>HYPERLINK("https://klasma.github.io/Logging_0781/fåglar/A 28134-2026 prioriterade fågelarter.docx", "A 28134-2026")</f>
        <v/>
      </c>
    </row>
    <row r="106" ht="15" customHeight="1">
      <c r="A106" t="inlineStr">
        <is>
          <t>A 29335-2024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46225</v>
      </c>
      <c r="F106" t="inlineStr">
        <is>
          <t>KRONOBERGS LÄN</t>
        </is>
      </c>
      <c r="G106" t="inlineStr">
        <is>
          <t>LJUNGBY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Orre</t>
        </is>
      </c>
      <c r="W106">
        <f>HYPERLINK("https://klasma.github.io/Logging_0781/artfynd/A 29335-2024 artfynd.xlsx", "A 29335-2024")</f>
        <v/>
      </c>
      <c r="X106">
        <f>HYPERLINK("https://klasma.github.io/Logging_0781/kartor/A 29335-2024 karta.png", "A 29335-2024")</f>
        <v/>
      </c>
      <c r="Y106">
        <f>HYPERLINK("https://klasma.github.io/Logging_0781/kartor_geotiff/A 29335-2024 georefererad karta.tif", "A 29335-2024")</f>
        <v/>
      </c>
      <c r="AA106">
        <f>HYPERLINK("https://klasma.github.io/Logging_0781/klagomål/A 29335-2024 FSC-klagomål.docx", "A 29335-2024")</f>
        <v/>
      </c>
      <c r="AB106">
        <f>HYPERLINK("https://klasma.github.io/Logging_0781/klagomålsmail/A 29335-2024 FSC-klagomål mail.docx", "A 29335-2024")</f>
        <v/>
      </c>
      <c r="AC106">
        <f>HYPERLINK("https://klasma.github.io/Logging_0781/tillsyn/A 29335-2024 tillsynsbegäran.docx", "A 29335-2024")</f>
        <v/>
      </c>
      <c r="AD106">
        <f>HYPERLINK("https://klasma.github.io/Logging_0781/tillsynsmail/A 29335-2024 tillsynsbegäran mail.docx", "A 29335-2024")</f>
        <v/>
      </c>
      <c r="AE106">
        <f>HYPERLINK("https://klasma.github.io/Logging_0781/fåglar/A 29335-2024 prioriterade fågelarter.docx", "A 29335-2024")</f>
        <v/>
      </c>
    </row>
    <row r="107" ht="15" customHeight="1">
      <c r="A107" t="inlineStr">
        <is>
          <t>A 29769-2026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46225</v>
      </c>
      <c r="F107" t="inlineStr">
        <is>
          <t>KRONOBERGS LÄN</t>
        </is>
      </c>
      <c r="G107" t="inlineStr">
        <is>
          <t>LJUNGBY</t>
        </is>
      </c>
      <c r="I107" t="n">
        <v>2.2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HYPERLINK("https://klasma.github.io/Logging_0781/artfynd/A 29769-2026 artfynd.xlsx", "A 29769-2026")</f>
        <v/>
      </c>
      <c r="X107">
        <f>HYPERLINK("https://klasma.github.io/Logging_0781/kartor/A 29769-2026 karta.png", "A 29769-2026")</f>
        <v/>
      </c>
      <c r="Y107">
        <f>HYPERLINK("https://klasma.github.io/Logging_0781/kartor_geotiff/A 29769-2026 georefererad karta.tif", "A 29769-2026")</f>
        <v/>
      </c>
      <c r="AA107">
        <f>HYPERLINK("https://klasma.github.io/Logging_0781/klagomål/A 29769-2026 FSC-klagomål.docx", "A 29769-2026")</f>
        <v/>
      </c>
      <c r="AB107">
        <f>HYPERLINK("https://klasma.github.io/Logging_0781/klagomålsmail/A 29769-2026 FSC-klagomål mail.docx", "A 29769-2026")</f>
        <v/>
      </c>
      <c r="AC107">
        <f>HYPERLINK("https://klasma.github.io/Logging_0781/tillsyn/A 29769-2026 tillsynsbegäran.docx", "A 29769-2026")</f>
        <v/>
      </c>
      <c r="AD107">
        <f>HYPERLINK("https://klasma.github.io/Logging_0781/tillsynsmail/A 29769-2026 tillsynsbegäran mail.docx", "A 29769-2026")</f>
        <v/>
      </c>
    </row>
    <row r="108" ht="15" customHeight="1">
      <c r="A108" t="inlineStr">
        <is>
          <t>A 47242-2022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46225</v>
      </c>
      <c r="F108" t="inlineStr">
        <is>
          <t>KRONOBERGS LÄN</t>
        </is>
      </c>
      <c r="G108" t="inlineStr">
        <is>
          <t>LJUNGBY</t>
        </is>
      </c>
      <c r="I108" t="n">
        <v>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Spillkråka</t>
        </is>
      </c>
      <c r="W108">
        <f>HYPERLINK("https://klasma.github.io/Logging_0781/artfynd/A 47242-2022 artfynd.xlsx", "A 47242-2022")</f>
        <v/>
      </c>
      <c r="X108">
        <f>HYPERLINK("https://klasma.github.io/Logging_0781/kartor/A 47242-2022 karta.png", "A 47242-2022")</f>
        <v/>
      </c>
      <c r="Y108">
        <f>HYPERLINK("https://klasma.github.io/Logging_0781/kartor_geotiff/A 47242-2022 georefererad karta.tif", "A 47242-2022")</f>
        <v/>
      </c>
      <c r="AA108">
        <f>HYPERLINK("https://klasma.github.io/Logging_0781/klagomål/A 47242-2022 FSC-klagomål.docx", "A 47242-2022")</f>
        <v/>
      </c>
      <c r="AB108">
        <f>HYPERLINK("https://klasma.github.io/Logging_0781/klagomålsmail/A 47242-2022 FSC-klagomål mail.docx", "A 47242-2022")</f>
        <v/>
      </c>
      <c r="AC108">
        <f>HYPERLINK("https://klasma.github.io/Logging_0781/tillsyn/A 47242-2022 tillsynsbegäran.docx", "A 47242-2022")</f>
        <v/>
      </c>
      <c r="AD108">
        <f>HYPERLINK("https://klasma.github.io/Logging_0781/tillsynsmail/A 47242-2022 tillsynsbegäran mail.docx", "A 47242-2022")</f>
        <v/>
      </c>
      <c r="AE108">
        <f>HYPERLINK("https://klasma.github.io/Logging_0781/fåglar/A 47242-2022 prioriterade fågelarter.docx", "A 47242-2022")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46225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20075-2023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45054</v>
      </c>
      <c r="E110" s="1" t="n">
        <v>46225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Vanlig groda</t>
        </is>
      </c>
      <c r="W110">
        <f>HYPERLINK("https://klasma.github.io/Logging_0781/artfynd/A 20075-2023 artfynd.xlsx", "A 20075-2023")</f>
        <v/>
      </c>
      <c r="X110">
        <f>HYPERLINK("https://klasma.github.io/Logging_0781/kartor/A 20075-2023 karta.png", "A 20075-2023")</f>
        <v/>
      </c>
      <c r="Y110">
        <f>HYPERLINK("https://klasma.github.io/Logging_0781/kartor_geotiff/A 20075-2023 georefererad karta.tif", "A 20075-2023")</f>
        <v/>
      </c>
      <c r="AA110">
        <f>HYPERLINK("https://klasma.github.io/Logging_0781/klagomål/A 20075-2023 FSC-klagomål.docx", "A 20075-2023")</f>
        <v/>
      </c>
      <c r="AB110">
        <f>HYPERLINK("https://klasma.github.io/Logging_0781/klagomålsmail/A 20075-2023 FSC-klagomål mail.docx", "A 20075-2023")</f>
        <v/>
      </c>
      <c r="AC110">
        <f>HYPERLINK("https://klasma.github.io/Logging_0781/tillsyn/A 20075-2023 tillsynsbegäran.docx", "A 20075-2023")</f>
        <v/>
      </c>
      <c r="AD110">
        <f>HYPERLINK("https://klasma.github.io/Logging_0781/tillsynsmail/A 20075-2023 tillsynsbegäran mail.docx", "A 20075-2023")</f>
        <v/>
      </c>
    </row>
    <row r="111" ht="15" customHeight="1">
      <c r="A111" t="inlineStr">
        <is>
          <t>A 49237-2021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46225</v>
      </c>
      <c r="F111" t="inlineStr">
        <is>
          <t>KRONOBERGS LÄN</t>
        </is>
      </c>
      <c r="G111" t="inlineStr">
        <is>
          <t>LJUNGBY</t>
        </is>
      </c>
      <c r="I111" t="n">
        <v>2.9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Brunpudrad nållav</t>
        </is>
      </c>
      <c r="W111">
        <f>HYPERLINK("https://klasma.github.io/Logging_0781/artfynd/A 49237-2021 artfynd.xlsx", "A 49237-2021")</f>
        <v/>
      </c>
      <c r="X111">
        <f>HYPERLINK("https://klasma.github.io/Logging_0781/kartor/A 49237-2021 karta.png", "A 49237-2021")</f>
        <v/>
      </c>
      <c r="Y111">
        <f>HYPERLINK("https://klasma.github.io/Logging_0781/kartor_geotiff/A 49237-2021 georefererad karta.tif", "A 49237-2021")</f>
        <v/>
      </c>
      <c r="AA111">
        <f>HYPERLINK("https://klasma.github.io/Logging_0781/klagomål/A 49237-2021 FSC-klagomål.docx", "A 49237-2021")</f>
        <v/>
      </c>
      <c r="AB111">
        <f>HYPERLINK("https://klasma.github.io/Logging_0781/klagomålsmail/A 49237-2021 FSC-klagomål mail.docx", "A 49237-2021")</f>
        <v/>
      </c>
      <c r="AC111">
        <f>HYPERLINK("https://klasma.github.io/Logging_0781/tillsyn/A 49237-2021 tillsynsbegäran.docx", "A 49237-2021")</f>
        <v/>
      </c>
      <c r="AD111">
        <f>HYPERLINK("https://klasma.github.io/Logging_0781/tillsynsmail/A 49237-2021 tillsynsbegäran mail.docx", "A 49237-2021")</f>
        <v/>
      </c>
    </row>
    <row r="112" ht="15" customHeight="1">
      <c r="A112" t="inlineStr">
        <is>
          <t>A 2159-2025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46225</v>
      </c>
      <c r="F112" t="inlineStr">
        <is>
          <t>KRONOBERGS LÄN</t>
        </is>
      </c>
      <c r="G112" t="inlineStr">
        <is>
          <t>LJUNGBY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Slåttergubbe</t>
        </is>
      </c>
      <c r="W112">
        <f>HYPERLINK("https://klasma.github.io/Logging_0781/artfynd/A 2159-2025 artfynd.xlsx", "A 2159-2025")</f>
        <v/>
      </c>
      <c r="X112">
        <f>HYPERLINK("https://klasma.github.io/Logging_0781/kartor/A 2159-2025 karta.png", "A 2159-2025")</f>
        <v/>
      </c>
      <c r="Y112">
        <f>HYPERLINK("https://klasma.github.io/Logging_0781/kartor_geotiff/A 2159-2025 georefererad karta.tif", "A 2159-2025")</f>
        <v/>
      </c>
      <c r="AA112">
        <f>HYPERLINK("https://klasma.github.io/Logging_0781/klagomål/A 2159-2025 FSC-klagomål.docx", "A 2159-2025")</f>
        <v/>
      </c>
      <c r="AB112">
        <f>HYPERLINK("https://klasma.github.io/Logging_0781/klagomålsmail/A 2159-2025 FSC-klagomål mail.docx", "A 2159-2025")</f>
        <v/>
      </c>
      <c r="AC112">
        <f>HYPERLINK("https://klasma.github.io/Logging_0781/tillsyn/A 2159-2025 tillsynsbegäran.docx", "A 2159-2025")</f>
        <v/>
      </c>
      <c r="AD112">
        <f>HYPERLINK("https://klasma.github.io/Logging_0781/tillsynsmail/A 2159-2025 tillsynsbegäran mail.docx", "A 2159-2025")</f>
        <v/>
      </c>
    </row>
    <row r="113" ht="15" customHeight="1">
      <c r="A113" t="inlineStr">
        <is>
          <t>A 4467-2025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46225</v>
      </c>
      <c r="F113" t="inlineStr">
        <is>
          <t>KRONOBERGS LÄN</t>
        </is>
      </c>
      <c r="G113" t="inlineStr">
        <is>
          <t>LJUNGBY</t>
        </is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HYPERLINK("https://klasma.github.io/Logging_0781/artfynd/A 4467-2025 artfynd.xlsx", "A 4467-2025")</f>
        <v/>
      </c>
      <c r="X113">
        <f>HYPERLINK("https://klasma.github.io/Logging_0781/kartor/A 4467-2025 karta.png", "A 4467-2025")</f>
        <v/>
      </c>
      <c r="Y113">
        <f>HYPERLINK("https://klasma.github.io/Logging_0781/kartor_geotiff/A 4467-2025 georefererad karta.tif", "A 4467-2025")</f>
        <v/>
      </c>
      <c r="AA113">
        <f>HYPERLINK("https://klasma.github.io/Logging_0781/klagomål/A 4467-2025 FSC-klagomål.docx", "A 4467-2025")</f>
        <v/>
      </c>
      <c r="AB113">
        <f>HYPERLINK("https://klasma.github.io/Logging_0781/klagomålsmail/A 4467-2025 FSC-klagomål mail.docx", "A 4467-2025")</f>
        <v/>
      </c>
      <c r="AC113">
        <f>HYPERLINK("https://klasma.github.io/Logging_0781/tillsyn/A 4467-2025 tillsynsbegäran.docx", "A 4467-2025")</f>
        <v/>
      </c>
      <c r="AD113">
        <f>HYPERLINK("https://klasma.github.io/Logging_0781/tillsynsmail/A 4467-2025 tillsynsbegäran mail.docx", "A 4467-2025")</f>
        <v/>
      </c>
    </row>
    <row r="114" ht="15" customHeight="1">
      <c r="A114" t="inlineStr">
        <is>
          <t>A 42054-2024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46225</v>
      </c>
      <c r="F114" t="inlineStr">
        <is>
          <t>KRONOBERGS LÄN</t>
        </is>
      </c>
      <c r="G114" t="inlineStr">
        <is>
          <t>LJUNGBY</t>
        </is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42054-2024 artfynd.xlsx", "A 42054-2024")</f>
        <v/>
      </c>
      <c r="X114">
        <f>HYPERLINK("https://klasma.github.io/Logging_0781/kartor/A 42054-2024 karta.png", "A 42054-2024")</f>
        <v/>
      </c>
      <c r="Y114">
        <f>HYPERLINK("https://klasma.github.io/Logging_0781/kartor_geotiff/A 42054-2024 georefererad karta.tif", "A 42054-2024")</f>
        <v/>
      </c>
      <c r="AA114">
        <f>HYPERLINK("https://klasma.github.io/Logging_0781/klagomål/A 42054-2024 FSC-klagomål.docx", "A 42054-2024")</f>
        <v/>
      </c>
      <c r="AB114">
        <f>HYPERLINK("https://klasma.github.io/Logging_0781/klagomålsmail/A 42054-2024 FSC-klagomål mail.docx", "A 42054-2024")</f>
        <v/>
      </c>
      <c r="AC114">
        <f>HYPERLINK("https://klasma.github.io/Logging_0781/tillsyn/A 42054-2024 tillsynsbegäran.docx", "A 42054-2024")</f>
        <v/>
      </c>
      <c r="AD114">
        <f>HYPERLINK("https://klasma.github.io/Logging_0781/tillsynsmail/A 42054-2024 tillsynsbegäran mail.docx", "A 42054-2024")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46225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25241-2023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45079</v>
      </c>
      <c r="E116" s="1" t="n">
        <v>46225</v>
      </c>
      <c r="F116" t="inlineStr">
        <is>
          <t>KRONOBERGS LÄN</t>
        </is>
      </c>
      <c r="G116" t="inlineStr">
        <is>
          <t>LJUNGBY</t>
        </is>
      </c>
      <c r="I116" t="n">
        <v>0.8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25241-2023 artfynd.xlsx", "A 25241-2023")</f>
        <v/>
      </c>
      <c r="X116">
        <f>HYPERLINK("https://klasma.github.io/Logging_0781/kartor/A 25241-2023 karta.png", "A 25241-2023")</f>
        <v/>
      </c>
      <c r="Y116">
        <f>HYPERLINK("https://klasma.github.io/Logging_0781/kartor_geotiff/A 25241-2023 georefererad karta.tif", "A 25241-2023")</f>
        <v/>
      </c>
      <c r="AA116">
        <f>HYPERLINK("https://klasma.github.io/Logging_0781/klagomål/A 25241-2023 FSC-klagomål.docx", "A 25241-2023")</f>
        <v/>
      </c>
      <c r="AB116">
        <f>HYPERLINK("https://klasma.github.io/Logging_0781/klagomålsmail/A 25241-2023 FSC-klagomål mail.docx", "A 25241-2023")</f>
        <v/>
      </c>
      <c r="AC116">
        <f>HYPERLINK("https://klasma.github.io/Logging_0781/tillsyn/A 25241-2023 tillsynsbegäran.docx", "A 25241-2023")</f>
        <v/>
      </c>
      <c r="AD116">
        <f>HYPERLINK("https://klasma.github.io/Logging_0781/tillsynsmail/A 25241-2023 tillsynsbegäran mail.docx", "A 25241-2023")</f>
        <v/>
      </c>
    </row>
    <row r="117" ht="15" customHeight="1">
      <c r="A117" t="inlineStr">
        <is>
          <t>A 5614-2024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46225</v>
      </c>
      <c r="F117" t="inlineStr">
        <is>
          <t>KRONOBERGS LÄN</t>
        </is>
      </c>
      <c r="G117" t="inlineStr">
        <is>
          <t>LJUNGBY</t>
        </is>
      </c>
      <c r="H117" t="inlineStr">
        <is>
          <t>Kommuner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HYPERLINK("https://klasma.github.io/Logging_0781/artfynd/A 5614-2024 artfynd.xlsx", "A 5614-2024")</f>
        <v/>
      </c>
      <c r="X117">
        <f>HYPERLINK("https://klasma.github.io/Logging_0781/kartor/A 5614-2024 karta.png", "A 5614-2024")</f>
        <v/>
      </c>
      <c r="Y117">
        <f>HYPERLINK("https://klasma.github.io/Logging_0781/kartor_geotiff/A 5614-2024 georefererad karta.tif", "A 5614-2024")</f>
        <v/>
      </c>
      <c r="AA117">
        <f>HYPERLINK("https://klasma.github.io/Logging_0781/klagomål/A 5614-2024 FSC-klagomål.docx", "A 5614-2024")</f>
        <v/>
      </c>
      <c r="AB117">
        <f>HYPERLINK("https://klasma.github.io/Logging_0781/klagomålsmail/A 5614-2024 FSC-klagomål mail.docx", "A 5614-2024")</f>
        <v/>
      </c>
      <c r="AC117">
        <f>HYPERLINK("https://klasma.github.io/Logging_0781/tillsyn/A 5614-2024 tillsynsbegäran.docx", "A 5614-2024")</f>
        <v/>
      </c>
      <c r="AD117">
        <f>HYPERLINK("https://klasma.github.io/Logging_0781/tillsynsmail/A 5614-2024 tillsynsbegäran mail.docx", "A 5614-2024")</f>
        <v/>
      </c>
    </row>
    <row r="118" ht="15" customHeight="1">
      <c r="A118" t="inlineStr">
        <is>
          <t>A 48152-2023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46225</v>
      </c>
      <c r="F118" t="inlineStr">
        <is>
          <t>KRONOBERGS LÄN</t>
        </is>
      </c>
      <c r="G118" t="inlineStr">
        <is>
          <t>LJUNGBY</t>
        </is>
      </c>
      <c r="I118" t="n">
        <v>0.6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HYPERLINK("https://klasma.github.io/Logging_0781/artfynd/A 48152-2023 artfynd.xlsx", "A 48152-2023")</f>
        <v/>
      </c>
      <c r="X118">
        <f>HYPERLINK("https://klasma.github.io/Logging_0781/kartor/A 48152-2023 karta.png", "A 48152-2023")</f>
        <v/>
      </c>
      <c r="Y118">
        <f>HYPERLINK("https://klasma.github.io/Logging_0781/kartor_geotiff/A 48152-2023 georefererad karta.tif", "A 48152-2023")</f>
        <v/>
      </c>
      <c r="AA118">
        <f>HYPERLINK("https://klasma.github.io/Logging_0781/klagomål/A 48152-2023 FSC-klagomål.docx", "A 48152-2023")</f>
        <v/>
      </c>
      <c r="AB118">
        <f>HYPERLINK("https://klasma.github.io/Logging_0781/klagomålsmail/A 48152-2023 FSC-klagomål mail.docx", "A 48152-2023")</f>
        <v/>
      </c>
      <c r="AC118">
        <f>HYPERLINK("https://klasma.github.io/Logging_0781/tillsyn/A 48152-2023 tillsynsbegäran.docx", "A 48152-2023")</f>
        <v/>
      </c>
      <c r="AD118">
        <f>HYPERLINK("https://klasma.github.io/Logging_0781/tillsynsmail/A 48152-2023 tillsynsbegäran mail.docx", "A 48152-2023")</f>
        <v/>
      </c>
      <c r="AE118">
        <f>HYPERLINK("https://klasma.github.io/Logging_0781/fåglar/A 48152-2023 prioriterade fågelarter.docx", "A 48152-2023")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46225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64830-2023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46225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64830-2023 artfynd.xlsx", "A 64830-2023")</f>
        <v/>
      </c>
      <c r="X120">
        <f>HYPERLINK("https://klasma.github.io/Logging_0781/kartor/A 64830-2023 karta.png", "A 64830-2023")</f>
        <v/>
      </c>
      <c r="Y120">
        <f>HYPERLINK("https://klasma.github.io/Logging_0781/kartor_geotiff/A 64830-2023 georefererad karta.tif", "A 64830-2023")</f>
        <v/>
      </c>
      <c r="AA120">
        <f>HYPERLINK("https://klasma.github.io/Logging_0781/klagomål/A 64830-2023 FSC-klagomål.docx", "A 64830-2023")</f>
        <v/>
      </c>
      <c r="AB120">
        <f>HYPERLINK("https://klasma.github.io/Logging_0781/klagomålsmail/A 64830-2023 FSC-klagomål mail.docx", "A 64830-2023")</f>
        <v/>
      </c>
      <c r="AC120">
        <f>HYPERLINK("https://klasma.github.io/Logging_0781/tillsyn/A 64830-2023 tillsynsbegäran.docx", "A 64830-2023")</f>
        <v/>
      </c>
      <c r="AD120">
        <f>HYPERLINK("https://klasma.github.io/Logging_0781/tillsynsmail/A 64830-2023 tillsynsbegäran mail.docx", "A 64830-2023")</f>
        <v/>
      </c>
    </row>
    <row r="121" ht="15" customHeight="1">
      <c r="A121" t="inlineStr">
        <is>
          <t>A 45205-2023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46225</v>
      </c>
      <c r="F121" t="inlineStr">
        <is>
          <t>KRONOBERGS LÄN</t>
        </is>
      </c>
      <c r="G121" t="inlineStr">
        <is>
          <t>LJUNGBY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45205-2023 artfynd.xlsx", "A 45205-2023")</f>
        <v/>
      </c>
      <c r="X121">
        <f>HYPERLINK("https://klasma.github.io/Logging_0781/kartor/A 45205-2023 karta.png", "A 45205-2023")</f>
        <v/>
      </c>
      <c r="Y121">
        <f>HYPERLINK("https://klasma.github.io/Logging_0781/kartor_geotiff/A 45205-2023 georefererad karta.tif", "A 45205-2023")</f>
        <v/>
      </c>
      <c r="AA121">
        <f>HYPERLINK("https://klasma.github.io/Logging_0781/klagomål/A 45205-2023 FSC-klagomål.docx", "A 45205-2023")</f>
        <v/>
      </c>
      <c r="AB121">
        <f>HYPERLINK("https://klasma.github.io/Logging_0781/klagomålsmail/A 45205-2023 FSC-klagomål mail.docx", "A 45205-2023")</f>
        <v/>
      </c>
      <c r="AC121">
        <f>HYPERLINK("https://klasma.github.io/Logging_0781/tillsyn/A 45205-2023 tillsynsbegäran.docx", "A 45205-2023")</f>
        <v/>
      </c>
      <c r="AD121">
        <f>HYPERLINK("https://klasma.github.io/Logging_0781/tillsynsmail/A 45205-2023 tillsynsbegäran mail.docx", "A 45205-2023")</f>
        <v/>
      </c>
    </row>
    <row r="122" ht="15" customHeight="1">
      <c r="A122" t="inlineStr">
        <is>
          <t>A 14493-2023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46225</v>
      </c>
      <c r="F122" t="inlineStr">
        <is>
          <t>KRONOBERGS LÄN</t>
        </is>
      </c>
      <c r="G122" t="inlineStr">
        <is>
          <t>LJUNGBY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HYPERLINK("https://klasma.github.io/Logging_0781/artfynd/A 14493-2023 artfynd.xlsx", "A 14493-2023")</f>
        <v/>
      </c>
      <c r="X122">
        <f>HYPERLINK("https://klasma.github.io/Logging_0781/kartor/A 14493-2023 karta.png", "A 14493-2023")</f>
        <v/>
      </c>
      <c r="Y122">
        <f>HYPERLINK("https://klasma.github.io/Logging_0781/kartor_geotiff/A 14493-2023 georefererad karta.tif", "A 14493-2023")</f>
        <v/>
      </c>
      <c r="AA122">
        <f>HYPERLINK("https://klasma.github.io/Logging_0781/klagomål/A 14493-2023 FSC-klagomål.docx", "A 14493-2023")</f>
        <v/>
      </c>
      <c r="AB122">
        <f>HYPERLINK("https://klasma.github.io/Logging_0781/klagomålsmail/A 14493-2023 FSC-klagomål mail.docx", "A 14493-2023")</f>
        <v/>
      </c>
      <c r="AC122">
        <f>HYPERLINK("https://klasma.github.io/Logging_0781/tillsyn/A 14493-2023 tillsynsbegäran.docx", "A 14493-2023")</f>
        <v/>
      </c>
      <c r="AD122">
        <f>HYPERLINK("https://klasma.github.io/Logging_0781/tillsynsmail/A 14493-2023 tillsynsbegäran mail.docx", "A 14493-2023")</f>
        <v/>
      </c>
    </row>
    <row r="123" ht="15" customHeight="1">
      <c r="A123" t="inlineStr">
        <is>
          <t>A 40088-2022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46225</v>
      </c>
      <c r="F123" t="inlineStr">
        <is>
          <t>KRONOBERGS LÄN</t>
        </is>
      </c>
      <c r="G123" t="inlineStr">
        <is>
          <t>LJUNGBY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Stor hagfibbla</t>
        </is>
      </c>
      <c r="W123">
        <f>HYPERLINK("https://klasma.github.io/Logging_0781/artfynd/A 40088-2022 artfynd.xlsx", "A 40088-2022")</f>
        <v/>
      </c>
      <c r="X123">
        <f>HYPERLINK("https://klasma.github.io/Logging_0781/kartor/A 40088-2022 karta.png", "A 40088-2022")</f>
        <v/>
      </c>
      <c r="Y123">
        <f>HYPERLINK("https://klasma.github.io/Logging_0781/kartor_geotiff/A 40088-2022 georefererad karta.tif", "A 40088-2022")</f>
        <v/>
      </c>
      <c r="AA123">
        <f>HYPERLINK("https://klasma.github.io/Logging_0781/klagomål/A 40088-2022 FSC-klagomål.docx", "A 40088-2022")</f>
        <v/>
      </c>
      <c r="AB123">
        <f>HYPERLINK("https://klasma.github.io/Logging_0781/klagomålsmail/A 40088-2022 FSC-klagomål mail.docx", "A 40088-2022")</f>
        <v/>
      </c>
      <c r="AC123">
        <f>HYPERLINK("https://klasma.github.io/Logging_0781/tillsyn/A 40088-2022 tillsynsbegäran.docx", "A 40088-2022")</f>
        <v/>
      </c>
      <c r="AD123">
        <f>HYPERLINK("https://klasma.github.io/Logging_0781/tillsynsmail/A 40088-2022 tillsynsbegäran mail.docx", "A 40088-2022")</f>
        <v/>
      </c>
    </row>
    <row r="124" ht="15" customHeight="1">
      <c r="A124" t="inlineStr">
        <is>
          <t>A 38427-2023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46225</v>
      </c>
      <c r="F124" t="inlineStr">
        <is>
          <t>KRONOBERGS LÄN</t>
        </is>
      </c>
      <c r="G124" t="inlineStr">
        <is>
          <t>LJUNGBY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HYPERLINK("https://klasma.github.io/Logging_0781/artfynd/A 38427-2023 artfynd.xlsx", "A 38427-2023")</f>
        <v/>
      </c>
      <c r="X124">
        <f>HYPERLINK("https://klasma.github.io/Logging_0781/kartor/A 38427-2023 karta.png", "A 38427-2023")</f>
        <v/>
      </c>
      <c r="Y124">
        <f>HYPERLINK("https://klasma.github.io/Logging_0781/kartor_geotiff/A 38427-2023 georefererad karta.tif", "A 38427-2023")</f>
        <v/>
      </c>
      <c r="AA124">
        <f>HYPERLINK("https://klasma.github.io/Logging_0781/klagomål/A 38427-2023 FSC-klagomål.docx", "A 38427-2023")</f>
        <v/>
      </c>
      <c r="AB124">
        <f>HYPERLINK("https://klasma.github.io/Logging_0781/klagomålsmail/A 38427-2023 FSC-klagomål mail.docx", "A 38427-2023")</f>
        <v/>
      </c>
      <c r="AC124">
        <f>HYPERLINK("https://klasma.github.io/Logging_0781/tillsyn/A 38427-2023 tillsynsbegäran.docx", "A 38427-2023")</f>
        <v/>
      </c>
      <c r="AD124">
        <f>HYPERLINK("https://klasma.github.io/Logging_0781/tillsynsmail/A 38427-2023 tillsynsbegäran mail.docx", "A 38427-2023")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46225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13460-2023 artfynd.xlsx", "A 13460-2023")</f>
        <v/>
      </c>
      <c r="X125">
        <f>HYPERLINK("https://klasma.github.io/Logging_0781/kartor/A 13460-2023 karta.png", "A 13460-2023")</f>
        <v/>
      </c>
      <c r="Y125">
        <f>HYPERLINK("https://klasma.github.io/Logging_0781/kartor_geotiff/A 13460-2023 georefererad karta.tif", "A 13460-2023")</f>
        <v/>
      </c>
      <c r="AA125">
        <f>HYPERLINK("https://klasma.github.io/Logging_0781/klagomål/A 13460-2023 FSC-klagomål.docx", "A 13460-2023")</f>
        <v/>
      </c>
      <c r="AB125">
        <f>HYPERLINK("https://klasma.github.io/Logging_0781/klagomålsmail/A 13460-2023 FSC-klagomål mail.docx", "A 13460-2023")</f>
        <v/>
      </c>
      <c r="AC125">
        <f>HYPERLINK("https://klasma.github.io/Logging_0781/tillsyn/A 13460-2023 tillsynsbegäran.docx", "A 13460-2023")</f>
        <v/>
      </c>
      <c r="AD125">
        <f>HYPERLINK("https://klasma.github.io/Logging_0781/tillsynsmail/A 13460-2023 tillsynsbegäran mail.docx", "A 13460-2023")</f>
        <v/>
      </c>
      <c r="AE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46225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46225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46225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46225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46225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46225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46225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46225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46225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46225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46225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46225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46225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46225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46225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46225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46225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46225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46225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46225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46225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46225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46225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46225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46225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46225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46225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46225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46225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46225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46225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46225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46225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46225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46225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46225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46225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46225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46225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46225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46225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46225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46225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46225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46225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46225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46225</v>
      </c>
      <c r="F172" t="inlineStr">
        <is>
          <t>KRONOBERGS LÄN</t>
        </is>
      </c>
      <c r="G172" t="inlineStr">
        <is>
          <t>LJUNGBY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46225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46225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38053-2021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44404</v>
      </c>
      <c r="E175" s="1" t="n">
        <v>46225</v>
      </c>
      <c r="F175" t="inlineStr">
        <is>
          <t>KRONOBERGS LÄN</t>
        </is>
      </c>
      <c r="G175" t="inlineStr">
        <is>
          <t>LJUNGBY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44460</v>
      </c>
      <c r="E176" s="1" t="n">
        <v>46225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46225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46225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46225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46225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46225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46225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46225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46225</v>
      </c>
      <c r="F184" t="inlineStr">
        <is>
          <t>KRONOBERGS LÄN</t>
        </is>
      </c>
      <c r="G184" t="inlineStr">
        <is>
          <t>LJUNGBY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46225</v>
      </c>
      <c r="F185" t="inlineStr">
        <is>
          <t>KRONOBERGS LÄN</t>
        </is>
      </c>
      <c r="G185" t="inlineStr">
        <is>
          <t>LJUNGBY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46225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46225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46225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46225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46225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46225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46225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46225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46225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46225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46225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46225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46225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46225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46225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46225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46225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46225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46225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46225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46225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46225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46225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46225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46225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46225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46225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44420</v>
      </c>
      <c r="E213" s="1" t="n">
        <v>46225</v>
      </c>
      <c r="F213" t="inlineStr">
        <is>
          <t>KRONOBERGS LÄN</t>
        </is>
      </c>
      <c r="G213" t="inlineStr">
        <is>
          <t>LJUNGBY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46225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46225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46225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46225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46225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46225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46225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46225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46225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46225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46225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44417</v>
      </c>
      <c r="E225" s="1" t="n">
        <v>46225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46225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46225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46225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46225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37209-2022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44806</v>
      </c>
      <c r="E230" s="1" t="n">
        <v>46225</v>
      </c>
      <c r="F230" t="inlineStr">
        <is>
          <t>KRONOBERGS LÄN</t>
        </is>
      </c>
      <c r="G230" t="inlineStr">
        <is>
          <t>LJUNGBY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46225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7273-2022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44606</v>
      </c>
      <c r="E232" s="1" t="n">
        <v>46225</v>
      </c>
      <c r="F232" t="inlineStr">
        <is>
          <t>KRONOBERGS LÄN</t>
        </is>
      </c>
      <c r="G232" t="inlineStr">
        <is>
          <t>LJUNGBY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46225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46225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46225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46225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46225</v>
      </c>
      <c r="F237" t="inlineStr">
        <is>
          <t>KRONOBERGS LÄN</t>
        </is>
      </c>
      <c r="G237" t="inlineStr">
        <is>
          <t>LJUNGBY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46225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44819</v>
      </c>
      <c r="E239" s="1" t="n">
        <v>46225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37335-2022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44809</v>
      </c>
      <c r="E240" s="1" t="n">
        <v>46225</v>
      </c>
      <c r="F240" t="inlineStr">
        <is>
          <t>KRONOBERGS LÄN</t>
        </is>
      </c>
      <c r="G240" t="inlineStr">
        <is>
          <t>LJUNGBY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46225</v>
      </c>
      <c r="F241" t="inlineStr">
        <is>
          <t>KRONOBERGS LÄN</t>
        </is>
      </c>
      <c r="G241" t="inlineStr">
        <is>
          <t>LJUNGBY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46225</v>
      </c>
      <c r="F242" t="inlineStr">
        <is>
          <t>KRONOBERGS LÄN</t>
        </is>
      </c>
      <c r="G242" t="inlineStr">
        <is>
          <t>LJUNGBY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46225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46225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46225</v>
      </c>
      <c r="F245" t="inlineStr">
        <is>
          <t>KRONOBERGS LÄN</t>
        </is>
      </c>
      <c r="G245" t="inlineStr">
        <is>
          <t>LJUNGBY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45069</v>
      </c>
      <c r="E246" s="1" t="n">
        <v>46225</v>
      </c>
      <c r="F246" t="inlineStr">
        <is>
          <t>KRONOBERGS LÄN</t>
        </is>
      </c>
      <c r="G246" t="inlineStr">
        <is>
          <t>LJUNGBY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46225</v>
      </c>
      <c r="F247" t="inlineStr">
        <is>
          <t>KRONOBERGS LÄN</t>
        </is>
      </c>
      <c r="G247" t="inlineStr">
        <is>
          <t>LJUNGBY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46225</v>
      </c>
      <c r="F248" t="inlineStr">
        <is>
          <t>KRONOBERGS LÄN</t>
        </is>
      </c>
      <c r="G248" t="inlineStr">
        <is>
          <t>LJUNGBY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46225</v>
      </c>
      <c r="F249" t="inlineStr">
        <is>
          <t>KRONOBERGS LÄN</t>
        </is>
      </c>
      <c r="G249" t="inlineStr">
        <is>
          <t>LJUNGBY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45324</v>
      </c>
      <c r="E250" s="1" t="n">
        <v>46225</v>
      </c>
      <c r="F250" t="inlineStr">
        <is>
          <t>KRONOBERGS LÄN</t>
        </is>
      </c>
      <c r="G250" t="inlineStr">
        <is>
          <t>LJUNGBY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44908</v>
      </c>
      <c r="E251" s="1" t="n">
        <v>46225</v>
      </c>
      <c r="F251" t="inlineStr">
        <is>
          <t>KRONOBERGS LÄN</t>
        </is>
      </c>
      <c r="G251" t="inlineStr">
        <is>
          <t>LJUNGBY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46225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46225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45089</v>
      </c>
      <c r="E254" s="1" t="n">
        <v>46225</v>
      </c>
      <c r="F254" t="inlineStr">
        <is>
          <t>KRONOBERGS LÄN</t>
        </is>
      </c>
      <c r="G254" t="inlineStr">
        <is>
          <t>LJUNGBY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30764-2022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44764</v>
      </c>
      <c r="E255" s="1" t="n">
        <v>46225</v>
      </c>
      <c r="F255" t="inlineStr">
        <is>
          <t>KRONOBERGS LÄN</t>
        </is>
      </c>
      <c r="G255" t="inlineStr">
        <is>
          <t>LJUNGBY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46225</v>
      </c>
      <c r="F256" t="inlineStr">
        <is>
          <t>KRONOBERGS LÄN</t>
        </is>
      </c>
      <c r="G256" t="inlineStr">
        <is>
          <t>LJUNGBY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45440</v>
      </c>
      <c r="E257" s="1" t="n">
        <v>46225</v>
      </c>
      <c r="F257" t="inlineStr">
        <is>
          <t>KRONOBERGS LÄN</t>
        </is>
      </c>
      <c r="G257" t="inlineStr">
        <is>
          <t>LJUNGBY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45764</v>
      </c>
      <c r="E258" s="1" t="n">
        <v>46225</v>
      </c>
      <c r="F258" t="inlineStr">
        <is>
          <t>KRONOBERGS LÄN</t>
        </is>
      </c>
      <c r="G258" t="inlineStr">
        <is>
          <t>LJUNGBY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41421-2021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44424</v>
      </c>
      <c r="E259" s="1" t="n">
        <v>46225</v>
      </c>
      <c r="F259" t="inlineStr">
        <is>
          <t>KRONOBERGS LÄN</t>
        </is>
      </c>
      <c r="G259" t="inlineStr">
        <is>
          <t>LJUNGBY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44928</v>
      </c>
      <c r="E260" s="1" t="n">
        <v>46225</v>
      </c>
      <c r="F260" t="inlineStr">
        <is>
          <t>KRONOBERGS LÄN</t>
        </is>
      </c>
      <c r="G260" t="inlineStr">
        <is>
          <t>LJUNGBY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37721-2022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44810</v>
      </c>
      <c r="E261" s="1" t="n">
        <v>46225</v>
      </c>
      <c r="F261" t="inlineStr">
        <is>
          <t>KRONOBERGS LÄN</t>
        </is>
      </c>
      <c r="G261" t="inlineStr">
        <is>
          <t>LJUNGBY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45300</v>
      </c>
      <c r="E262" s="1" t="n">
        <v>46225</v>
      </c>
      <c r="F262" t="inlineStr">
        <is>
          <t>KRONOBERGS LÄN</t>
        </is>
      </c>
      <c r="G262" t="inlineStr">
        <is>
          <t>LJUNGBY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44810</v>
      </c>
      <c r="E263" s="1" t="n">
        <v>46225</v>
      </c>
      <c r="F263" t="inlineStr">
        <is>
          <t>KRONOBERGS LÄN</t>
        </is>
      </c>
      <c r="G263" t="inlineStr">
        <is>
          <t>LJUNGBY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46225</v>
      </c>
      <c r="F264" t="inlineStr">
        <is>
          <t>KRONOBERGS LÄN</t>
        </is>
      </c>
      <c r="G264" t="inlineStr">
        <is>
          <t>LJUNGBY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46902-2021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44446</v>
      </c>
      <c r="E265" s="1" t="n">
        <v>46225</v>
      </c>
      <c r="F265" t="inlineStr">
        <is>
          <t>KRONOBERGS LÄN</t>
        </is>
      </c>
      <c r="G265" t="inlineStr">
        <is>
          <t>LJUNGBY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45373</v>
      </c>
      <c r="E266" s="1" t="n">
        <v>46225</v>
      </c>
      <c r="F266" t="inlineStr">
        <is>
          <t>KRONOBERGS LÄN</t>
        </is>
      </c>
      <c r="G266" t="inlineStr">
        <is>
          <t>LJUNGBY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46225</v>
      </c>
      <c r="F267" t="inlineStr">
        <is>
          <t>KRONOBERGS LÄN</t>
        </is>
      </c>
      <c r="G267" t="inlineStr">
        <is>
          <t>LJUNGBY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44895</v>
      </c>
      <c r="E268" s="1" t="n">
        <v>46225</v>
      </c>
      <c r="F268" t="inlineStr">
        <is>
          <t>KRONOBERGS LÄN</t>
        </is>
      </c>
      <c r="G268" t="inlineStr">
        <is>
          <t>LJUNGBY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44895</v>
      </c>
      <c r="E269" s="1" t="n">
        <v>46225</v>
      </c>
      <c r="F269" t="inlineStr">
        <is>
          <t>KRONOBERGS LÄN</t>
        </is>
      </c>
      <c r="G269" t="inlineStr">
        <is>
          <t>LJUNGBY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44895</v>
      </c>
      <c r="E270" s="1" t="n">
        <v>46225</v>
      </c>
      <c r="F270" t="inlineStr">
        <is>
          <t>KRONOBERGS LÄN</t>
        </is>
      </c>
      <c r="G270" t="inlineStr">
        <is>
          <t>LJUNGBY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46225</v>
      </c>
      <c r="F271" t="inlineStr">
        <is>
          <t>KRONOBERGS LÄN</t>
        </is>
      </c>
      <c r="G271" t="inlineStr">
        <is>
          <t>LJUNGBY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33114-2023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45126</v>
      </c>
      <c r="E272" s="1" t="n">
        <v>46225</v>
      </c>
      <c r="F272" t="inlineStr">
        <is>
          <t>KRONOBERGS LÄN</t>
        </is>
      </c>
      <c r="G272" t="inlineStr">
        <is>
          <t>LJUNGBY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73549-2021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44551</v>
      </c>
      <c r="E273" s="1" t="n">
        <v>46225</v>
      </c>
      <c r="F273" t="inlineStr">
        <is>
          <t>KRONOBERGS LÄN</t>
        </is>
      </c>
      <c r="G273" t="inlineStr">
        <is>
          <t>LJUNGBY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46225</v>
      </c>
      <c r="F274" t="inlineStr">
        <is>
          <t>KRONOBERGS LÄN</t>
        </is>
      </c>
      <c r="G274" t="inlineStr">
        <is>
          <t>LJUNGBY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44946</v>
      </c>
      <c r="E275" s="1" t="n">
        <v>46225</v>
      </c>
      <c r="F275" t="inlineStr">
        <is>
          <t>KRONOBERGS LÄN</t>
        </is>
      </c>
      <c r="G275" t="inlineStr">
        <is>
          <t>LJUNGBY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40511-2022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44823</v>
      </c>
      <c r="E276" s="1" t="n">
        <v>46225</v>
      </c>
      <c r="F276" t="inlineStr">
        <is>
          <t>KRONOBERGS LÄN</t>
        </is>
      </c>
      <c r="G276" t="inlineStr">
        <is>
          <t>LJUNGBY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46225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46225</v>
      </c>
      <c r="F278" t="inlineStr">
        <is>
          <t>KRONOBERGS LÄN</t>
        </is>
      </c>
      <c r="G278" t="inlineStr">
        <is>
          <t>LJUNGBY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45317</v>
      </c>
      <c r="E279" s="1" t="n">
        <v>46225</v>
      </c>
      <c r="F279" t="inlineStr">
        <is>
          <t>KRONOBERGS LÄN</t>
        </is>
      </c>
      <c r="G279" t="inlineStr">
        <is>
          <t>LJUNGBY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64003-2023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46225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44894</v>
      </c>
      <c r="E281" s="1" t="n">
        <v>46225</v>
      </c>
      <c r="F281" t="inlineStr">
        <is>
          <t>KRONOBERGS LÄN</t>
        </is>
      </c>
      <c r="G281" t="inlineStr">
        <is>
          <t>LJUNGBY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45265</v>
      </c>
      <c r="E282" s="1" t="n">
        <v>46225</v>
      </c>
      <c r="F282" t="inlineStr">
        <is>
          <t>KRONOBERGS LÄN</t>
        </is>
      </c>
      <c r="G282" t="inlineStr">
        <is>
          <t>LJUNGBY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45112</v>
      </c>
      <c r="E283" s="1" t="n">
        <v>46225</v>
      </c>
      <c r="F283" t="inlineStr">
        <is>
          <t>KRONOBERGS LÄN</t>
        </is>
      </c>
      <c r="G283" t="inlineStr">
        <is>
          <t>LJUNGBY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46225</v>
      </c>
      <c r="F284" t="inlineStr">
        <is>
          <t>KRONOBERGS LÄN</t>
        </is>
      </c>
      <c r="G284" t="inlineStr">
        <is>
          <t>LJUNGBY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55004-2022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44886</v>
      </c>
      <c r="E285" s="1" t="n">
        <v>46225</v>
      </c>
      <c r="F285" t="inlineStr">
        <is>
          <t>KRONOBERGS LÄN</t>
        </is>
      </c>
      <c r="G285" t="inlineStr">
        <is>
          <t>LJUNGBY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46662-2022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44850</v>
      </c>
      <c r="E286" s="1" t="n">
        <v>46225</v>
      </c>
      <c r="F286" t="inlineStr">
        <is>
          <t>KRONOBERGS LÄN</t>
        </is>
      </c>
      <c r="G286" t="inlineStr">
        <is>
          <t>LJUNGBY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45339</v>
      </c>
      <c r="E287" s="1" t="n">
        <v>46225</v>
      </c>
      <c r="F287" t="inlineStr">
        <is>
          <t>KRONOBERGS LÄN</t>
        </is>
      </c>
      <c r="G287" t="inlineStr">
        <is>
          <t>LJUNGBY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46225</v>
      </c>
      <c r="F288" t="inlineStr">
        <is>
          <t>KRONOBERGS LÄN</t>
        </is>
      </c>
      <c r="G288" t="inlineStr">
        <is>
          <t>LJUNGBY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45509</v>
      </c>
      <c r="E289" s="1" t="n">
        <v>46225</v>
      </c>
      <c r="F289" t="inlineStr">
        <is>
          <t>KRONOBERGS LÄN</t>
        </is>
      </c>
      <c r="G289" t="inlineStr">
        <is>
          <t>LJUNGBY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45156</v>
      </c>
      <c r="E290" s="1" t="n">
        <v>46225</v>
      </c>
      <c r="F290" t="inlineStr">
        <is>
          <t>KRONOBERGS LÄN</t>
        </is>
      </c>
      <c r="G290" t="inlineStr">
        <is>
          <t>LJUNGBY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46225</v>
      </c>
      <c r="F291" t="inlineStr">
        <is>
          <t>KRONOBERGS LÄN</t>
        </is>
      </c>
      <c r="G291" t="inlineStr">
        <is>
          <t>LJUNGBY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42232-2024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45562</v>
      </c>
      <c r="E292" s="1" t="n">
        <v>46225</v>
      </c>
      <c r="F292" t="inlineStr">
        <is>
          <t>KRONOBERGS LÄN</t>
        </is>
      </c>
      <c r="G292" t="inlineStr">
        <is>
          <t>LJUNGBY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59969-2025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45993</v>
      </c>
      <c r="E293" s="1" t="n">
        <v>46225</v>
      </c>
      <c r="F293" t="inlineStr">
        <is>
          <t>KRONOBERGS LÄN</t>
        </is>
      </c>
      <c r="G293" t="inlineStr">
        <is>
          <t>LJUNGBY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45275</v>
      </c>
      <c r="E294" s="1" t="n">
        <v>46225</v>
      </c>
      <c r="F294" t="inlineStr">
        <is>
          <t>KRONOBERGS LÄN</t>
        </is>
      </c>
      <c r="G294" t="inlineStr">
        <is>
          <t>LJUNGBY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46225</v>
      </c>
      <c r="F295" t="inlineStr">
        <is>
          <t>KRONOBERGS LÄN</t>
        </is>
      </c>
      <c r="G295" t="inlineStr">
        <is>
          <t>LJUNGBY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59968-2025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45993</v>
      </c>
      <c r="E296" s="1" t="n">
        <v>46225</v>
      </c>
      <c r="F296" t="inlineStr">
        <is>
          <t>KRONOBERGS LÄN</t>
        </is>
      </c>
      <c r="G296" t="inlineStr">
        <is>
          <t>LJUNGBY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46225</v>
      </c>
      <c r="F297" t="inlineStr">
        <is>
          <t>KRONOBERGS LÄN</t>
        </is>
      </c>
      <c r="G297" t="inlineStr">
        <is>
          <t>LJUNGBY</t>
        </is>
      </c>
      <c r="H297" t="inlineStr">
        <is>
          <t>Kyrkan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44945</v>
      </c>
      <c r="E298" s="1" t="n">
        <v>46225</v>
      </c>
      <c r="F298" t="inlineStr">
        <is>
          <t>KRONOBERGS LÄN</t>
        </is>
      </c>
      <c r="G298" t="inlineStr">
        <is>
          <t>LJUNGBY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46225</v>
      </c>
      <c r="F299" t="inlineStr">
        <is>
          <t>KRONOBERGS LÄN</t>
        </is>
      </c>
      <c r="G299" t="inlineStr">
        <is>
          <t>LJUNGBY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45476</v>
      </c>
      <c r="E300" s="1" t="n">
        <v>46225</v>
      </c>
      <c r="F300" t="inlineStr">
        <is>
          <t>KRONOBERGS LÄN</t>
        </is>
      </c>
      <c r="G300" t="inlineStr">
        <is>
          <t>LJUNGBY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11302-2024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45371</v>
      </c>
      <c r="E301" s="1" t="n">
        <v>46225</v>
      </c>
      <c r="F301" t="inlineStr">
        <is>
          <t>KRONOBERGS LÄN</t>
        </is>
      </c>
      <c r="G301" t="inlineStr">
        <is>
          <t>LJUNGBY</t>
        </is>
      </c>
      <c r="I301" t="n">
        <v>12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46225</v>
      </c>
      <c r="F302" t="inlineStr">
        <is>
          <t>KRONOBERGS LÄN</t>
        </is>
      </c>
      <c r="G302" t="inlineStr">
        <is>
          <t>LJUNGBY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46225</v>
      </c>
      <c r="F303" t="inlineStr">
        <is>
          <t>KRONOBERGS LÄN</t>
        </is>
      </c>
      <c r="G303" t="inlineStr">
        <is>
          <t>LJUNGBY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45811</v>
      </c>
      <c r="E304" s="1" t="n">
        <v>46225</v>
      </c>
      <c r="F304" t="inlineStr">
        <is>
          <t>KRONOBERGS LÄN</t>
        </is>
      </c>
      <c r="G304" t="inlineStr">
        <is>
          <t>LJUNGBY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46225</v>
      </c>
      <c r="F305" t="inlineStr">
        <is>
          <t>KRONOBERGS LÄN</t>
        </is>
      </c>
      <c r="G305" t="inlineStr">
        <is>
          <t>LJUNGBY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46225</v>
      </c>
      <c r="F306" t="inlineStr">
        <is>
          <t>KRONOBERGS LÄN</t>
        </is>
      </c>
      <c r="G306" t="inlineStr">
        <is>
          <t>LJUNGBY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46225</v>
      </c>
      <c r="F307" t="inlineStr">
        <is>
          <t>KRONOBERGS LÄN</t>
        </is>
      </c>
      <c r="G307" t="inlineStr">
        <is>
          <t>LJUNGBY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46225</v>
      </c>
      <c r="F308" t="inlineStr">
        <is>
          <t>KRONOBERGS LÄN</t>
        </is>
      </c>
      <c r="G308" t="inlineStr">
        <is>
          <t>LJUNGBY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46225</v>
      </c>
      <c r="F309" t="inlineStr">
        <is>
          <t>KRONOBERGS LÄN</t>
        </is>
      </c>
      <c r="G309" t="inlineStr">
        <is>
          <t>LJUNGBY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45715</v>
      </c>
      <c r="E310" s="1" t="n">
        <v>46225</v>
      </c>
      <c r="F310" t="inlineStr">
        <is>
          <t>KRONOBERGS LÄN</t>
        </is>
      </c>
      <c r="G310" t="inlineStr">
        <is>
          <t>LJUNGBY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15838-2025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45748</v>
      </c>
      <c r="E311" s="1" t="n">
        <v>46225</v>
      </c>
      <c r="F311" t="inlineStr">
        <is>
          <t>KRONOBERGS LÄN</t>
        </is>
      </c>
      <c r="G311" t="inlineStr">
        <is>
          <t>LJUNGBY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46225</v>
      </c>
      <c r="F312" t="inlineStr">
        <is>
          <t>KRONOBERGS LÄN</t>
        </is>
      </c>
      <c r="G312" t="inlineStr">
        <is>
          <t>LJUNGBY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46225</v>
      </c>
      <c r="F313" t="inlineStr">
        <is>
          <t>KRONOBERGS LÄN</t>
        </is>
      </c>
      <c r="G313" t="inlineStr">
        <is>
          <t>LJUNGBY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46225</v>
      </c>
      <c r="F314" t="inlineStr">
        <is>
          <t>KRONOBERGS LÄN</t>
        </is>
      </c>
      <c r="G314" t="inlineStr">
        <is>
          <t>LJUNGBY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46225</v>
      </c>
      <c r="F315" t="inlineStr">
        <is>
          <t>KRONOBERGS LÄN</t>
        </is>
      </c>
      <c r="G315" t="inlineStr">
        <is>
          <t>LJUNGBY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46225</v>
      </c>
      <c r="F316" t="inlineStr">
        <is>
          <t>KRONOBERGS LÄN</t>
        </is>
      </c>
      <c r="G316" t="inlineStr">
        <is>
          <t>LJUNGBY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46225</v>
      </c>
      <c r="F317" t="inlineStr">
        <is>
          <t>KRONOBERGS LÄN</t>
        </is>
      </c>
      <c r="G317" t="inlineStr">
        <is>
          <t>LJUNGBY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67204-2021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44523</v>
      </c>
      <c r="E318" s="1" t="n">
        <v>46225</v>
      </c>
      <c r="F318" t="inlineStr">
        <is>
          <t>KRONOBERGS LÄN</t>
        </is>
      </c>
      <c r="G318" t="inlineStr">
        <is>
          <t>LJUNGBY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39133-2025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46225</v>
      </c>
      <c r="F319" t="inlineStr">
        <is>
          <t>KRONOBERGS LÄN</t>
        </is>
      </c>
      <c r="G319" t="inlineStr">
        <is>
          <t>LJUNGBY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33176-2024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45518</v>
      </c>
      <c r="E320" s="1" t="n">
        <v>46225</v>
      </c>
      <c r="F320" t="inlineStr">
        <is>
          <t>KRONOBERGS LÄN</t>
        </is>
      </c>
      <c r="G320" t="inlineStr">
        <is>
          <t>LJUNGBY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45775</v>
      </c>
      <c r="E321" s="1" t="n">
        <v>46225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46225</v>
      </c>
      <c r="F322" t="inlineStr">
        <is>
          <t>KRONOBERGS LÄN</t>
        </is>
      </c>
      <c r="G322" t="inlineStr">
        <is>
          <t>LJUNGBY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4386-2026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46225</v>
      </c>
      <c r="F323" t="inlineStr">
        <is>
          <t>KRONOBERGS LÄN</t>
        </is>
      </c>
      <c r="G323" t="inlineStr">
        <is>
          <t>LJUNGBY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46225</v>
      </c>
      <c r="F324" t="inlineStr">
        <is>
          <t>KRONOBERGS LÄN</t>
        </is>
      </c>
      <c r="G324" t="inlineStr">
        <is>
          <t>LJUNGBY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46225</v>
      </c>
      <c r="F325" t="inlineStr">
        <is>
          <t>KRONOBERGS LÄN</t>
        </is>
      </c>
      <c r="G325" t="inlineStr">
        <is>
          <t>LJUNGBY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46225</v>
      </c>
      <c r="F326" t="inlineStr">
        <is>
          <t>KRONOBERGS LÄN</t>
        </is>
      </c>
      <c r="G326" t="inlineStr">
        <is>
          <t>LJUNGBY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46225</v>
      </c>
      <c r="F327" t="inlineStr">
        <is>
          <t>KRONOBERGS LÄN</t>
        </is>
      </c>
      <c r="G327" t="inlineStr">
        <is>
          <t>LJUNGBY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32393-2025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45837</v>
      </c>
      <c r="E328" s="1" t="n">
        <v>46225</v>
      </c>
      <c r="F328" t="inlineStr">
        <is>
          <t>KRONOBERGS LÄN</t>
        </is>
      </c>
      <c r="G328" t="inlineStr">
        <is>
          <t>LJUNGBY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46225</v>
      </c>
      <c r="F329" t="inlineStr">
        <is>
          <t>KRONOBERGS LÄN</t>
        </is>
      </c>
      <c r="G329" t="inlineStr">
        <is>
          <t>LJUNGBY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46050</v>
      </c>
      <c r="E330" s="1" t="n">
        <v>46225</v>
      </c>
      <c r="F330" t="inlineStr">
        <is>
          <t>KRONOBERGS LÄN</t>
        </is>
      </c>
      <c r="G330" t="inlineStr">
        <is>
          <t>LJUNGBY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46225</v>
      </c>
      <c r="F331" t="inlineStr">
        <is>
          <t>KRONOBERGS LÄN</t>
        </is>
      </c>
      <c r="G331" t="inlineStr">
        <is>
          <t>LJUNGBY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39913-2025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45891</v>
      </c>
      <c r="E332" s="1" t="n">
        <v>46225</v>
      </c>
      <c r="F332" t="inlineStr">
        <is>
          <t>KRONOBERGS LÄN</t>
        </is>
      </c>
      <c r="G332" t="inlineStr">
        <is>
          <t>LJUNGBY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45891</v>
      </c>
      <c r="E333" s="1" t="n">
        <v>46225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46225</v>
      </c>
      <c r="F334" t="inlineStr">
        <is>
          <t>KRONOBERGS LÄN</t>
        </is>
      </c>
      <c r="G334" t="inlineStr">
        <is>
          <t>LJUNGBY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30103-2025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45826</v>
      </c>
      <c r="E335" s="1" t="n">
        <v>46225</v>
      </c>
      <c r="F335" t="inlineStr">
        <is>
          <t>KRONOBERGS LÄN</t>
        </is>
      </c>
      <c r="G335" t="inlineStr">
        <is>
          <t>LJUNGBY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46225</v>
      </c>
      <c r="F336" t="inlineStr">
        <is>
          <t>KRONOBERGS LÄN</t>
        </is>
      </c>
      <c r="G336" t="inlineStr">
        <is>
          <t>LJUNGBY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29785-2025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45825</v>
      </c>
      <c r="E337" s="1" t="n">
        <v>46225</v>
      </c>
      <c r="F337" t="inlineStr">
        <is>
          <t>KRONOBERGS LÄN</t>
        </is>
      </c>
      <c r="G337" t="inlineStr">
        <is>
          <t>LJUNGBY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46225</v>
      </c>
      <c r="F338" t="inlineStr">
        <is>
          <t>KRONOBERGS LÄN</t>
        </is>
      </c>
      <c r="G338" t="inlineStr">
        <is>
          <t>LJUNGBY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45826</v>
      </c>
      <c r="E339" s="1" t="n">
        <v>46225</v>
      </c>
      <c r="F339" t="inlineStr">
        <is>
          <t>KRONOBERGS LÄN</t>
        </is>
      </c>
      <c r="G339" t="inlineStr">
        <is>
          <t>LJUNGBY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46225</v>
      </c>
      <c r="F340" t="inlineStr">
        <is>
          <t>KRONOBERGS LÄN</t>
        </is>
      </c>
      <c r="G340" t="inlineStr">
        <is>
          <t>LJUNGBY</t>
        </is>
      </c>
      <c r="H340" t="inlineStr">
        <is>
          <t>Sveaskog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46225</v>
      </c>
      <c r="F341" t="inlineStr">
        <is>
          <t>KRONOBERGS LÄN</t>
        </is>
      </c>
      <c r="G341" t="inlineStr">
        <is>
          <t>LJUNGBY</t>
        </is>
      </c>
      <c r="H341" t="inlineStr">
        <is>
          <t>Sveaskog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46225</v>
      </c>
      <c r="F342" t="inlineStr">
        <is>
          <t>KRONOBERGS LÄN</t>
        </is>
      </c>
      <c r="G342" t="inlineStr">
        <is>
          <t>LJUNGBY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46225</v>
      </c>
      <c r="F343" t="inlineStr">
        <is>
          <t>KRONOBERGS LÄN</t>
        </is>
      </c>
      <c r="G343" t="inlineStr">
        <is>
          <t>LJUNGBY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46054</v>
      </c>
      <c r="E344" s="1" t="n">
        <v>46225</v>
      </c>
      <c r="F344" t="inlineStr">
        <is>
          <t>KRONOBERGS LÄN</t>
        </is>
      </c>
      <c r="G344" t="inlineStr">
        <is>
          <t>LJUNGBY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46054</v>
      </c>
      <c r="E345" s="1" t="n">
        <v>46225</v>
      </c>
      <c r="F345" t="inlineStr">
        <is>
          <t>KRONOBERGS LÄN</t>
        </is>
      </c>
      <c r="G345" t="inlineStr">
        <is>
          <t>LJUNGBY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46225</v>
      </c>
      <c r="F346" t="inlineStr">
        <is>
          <t>KRONOBERGS LÄN</t>
        </is>
      </c>
      <c r="G346" t="inlineStr">
        <is>
          <t>LJUNGBY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45793</v>
      </c>
      <c r="E347" s="1" t="n">
        <v>46225</v>
      </c>
      <c r="F347" t="inlineStr">
        <is>
          <t>KRONOBERGS LÄN</t>
        </is>
      </c>
      <c r="G347" t="inlineStr">
        <is>
          <t>LJUNGBY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46054</v>
      </c>
      <c r="E348" s="1" t="n">
        <v>46225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46225</v>
      </c>
      <c r="F349" t="inlineStr">
        <is>
          <t>KRONOBERGS LÄN</t>
        </is>
      </c>
      <c r="G349" t="inlineStr">
        <is>
          <t>LJUNGBY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46225</v>
      </c>
      <c r="F350" t="inlineStr">
        <is>
          <t>KRONOBERGS LÄN</t>
        </is>
      </c>
      <c r="G350" t="inlineStr">
        <is>
          <t>LJUNGBY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46225</v>
      </c>
      <c r="F351" t="inlineStr">
        <is>
          <t>KRONOBERGS LÄN</t>
        </is>
      </c>
      <c r="G351" t="inlineStr">
        <is>
          <t>LJUNGBY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46225</v>
      </c>
      <c r="F352" t="inlineStr">
        <is>
          <t>KRONOBERGS LÄN</t>
        </is>
      </c>
      <c r="G352" t="inlineStr">
        <is>
          <t>LJUNGBY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46225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46225</v>
      </c>
      <c r="F354" t="inlineStr">
        <is>
          <t>KRONOBERGS LÄN</t>
        </is>
      </c>
      <c r="G354" t="inlineStr">
        <is>
          <t>LJUNGBY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46225</v>
      </c>
      <c r="F355" t="inlineStr">
        <is>
          <t>KRONOBERGS LÄN</t>
        </is>
      </c>
      <c r="G355" t="inlineStr">
        <is>
          <t>LJUNGBY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46225</v>
      </c>
      <c r="F356" t="inlineStr">
        <is>
          <t>KRONOBERGS LÄN</t>
        </is>
      </c>
      <c r="G356" t="inlineStr">
        <is>
          <t>LJUNGBY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46225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46225</v>
      </c>
      <c r="F358" t="inlineStr">
        <is>
          <t>KRONOBERGS LÄN</t>
        </is>
      </c>
      <c r="G358" t="inlineStr">
        <is>
          <t>LJUNGBY</t>
        </is>
      </c>
      <c r="H358" t="inlineStr">
        <is>
          <t>Kyrkan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46225</v>
      </c>
      <c r="F359" t="inlineStr">
        <is>
          <t>KRONOBERGS LÄN</t>
        </is>
      </c>
      <c r="G359" t="inlineStr">
        <is>
          <t>LJUNGBY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46062</v>
      </c>
      <c r="E360" s="1" t="n">
        <v>46225</v>
      </c>
      <c r="F360" t="inlineStr">
        <is>
          <t>KRONOBERGS LÄN</t>
        </is>
      </c>
      <c r="G360" t="inlineStr">
        <is>
          <t>LJUNGBY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46225</v>
      </c>
      <c r="F361" t="inlineStr">
        <is>
          <t>KRONOBERGS LÄN</t>
        </is>
      </c>
      <c r="G361" t="inlineStr">
        <is>
          <t>LJUNGBY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46225</v>
      </c>
      <c r="F362" t="inlineStr">
        <is>
          <t>KRONOBERGS LÄN</t>
        </is>
      </c>
      <c r="G362" t="inlineStr">
        <is>
          <t>LJUNGBY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46225</v>
      </c>
      <c r="F363" t="inlineStr">
        <is>
          <t>KRONOBERGS LÄN</t>
        </is>
      </c>
      <c r="G363" t="inlineStr">
        <is>
          <t>LJUNGBY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46225</v>
      </c>
      <c r="F364" t="inlineStr">
        <is>
          <t>KRONOBERGS LÄN</t>
        </is>
      </c>
      <c r="G364" t="inlineStr">
        <is>
          <t>LJUNGBY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46225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46225</v>
      </c>
      <c r="F366" t="inlineStr">
        <is>
          <t>KRONOBERGS LÄN</t>
        </is>
      </c>
      <c r="G366" t="inlineStr">
        <is>
          <t>LJUNGBY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46225</v>
      </c>
      <c r="F367" t="inlineStr">
        <is>
          <t>KRONOBERGS LÄN</t>
        </is>
      </c>
      <c r="G367" t="inlineStr">
        <is>
          <t>LJUNGBY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46225</v>
      </c>
      <c r="F368" t="inlineStr">
        <is>
          <t>KRONOBERGS LÄN</t>
        </is>
      </c>
      <c r="G368" t="inlineStr">
        <is>
          <t>LJUNGBY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46225</v>
      </c>
      <c r="F369" t="inlineStr">
        <is>
          <t>KRONOBERGS LÄN</t>
        </is>
      </c>
      <c r="G369" t="inlineStr">
        <is>
          <t>LJUNGBY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45837</v>
      </c>
      <c r="E370" s="1" t="n">
        <v>46225</v>
      </c>
      <c r="F370" t="inlineStr">
        <is>
          <t>KRONOBERGS LÄN</t>
        </is>
      </c>
      <c r="G370" t="inlineStr">
        <is>
          <t>LJUNGBY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46225</v>
      </c>
      <c r="F371" t="inlineStr">
        <is>
          <t>KRONOBERGS LÄN</t>
        </is>
      </c>
      <c r="G371" t="inlineStr">
        <is>
          <t>LJUNGBY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46225</v>
      </c>
      <c r="F372" t="inlineStr">
        <is>
          <t>KRONOBERGS LÄN</t>
        </is>
      </c>
      <c r="G372" t="inlineStr">
        <is>
          <t>LJUNGBY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33152-2025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46225</v>
      </c>
      <c r="F373" t="inlineStr">
        <is>
          <t>KRONOBERGS LÄN</t>
        </is>
      </c>
      <c r="G373" t="inlineStr">
        <is>
          <t>LJUNGBY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46225</v>
      </c>
      <c r="F374" t="inlineStr">
        <is>
          <t>KRONOBERGS LÄN</t>
        </is>
      </c>
      <c r="G374" t="inlineStr">
        <is>
          <t>LJUNGBY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45910</v>
      </c>
      <c r="E375" s="1" t="n">
        <v>46225</v>
      </c>
      <c r="F375" t="inlineStr">
        <is>
          <t>KRONOBERGS LÄN</t>
        </is>
      </c>
      <c r="G375" t="inlineStr">
        <is>
          <t>LJUNGBY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46225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46225</v>
      </c>
      <c r="F377" t="inlineStr">
        <is>
          <t>KRONOBERGS LÄN</t>
        </is>
      </c>
      <c r="G377" t="inlineStr">
        <is>
          <t>LJUNGBY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46225</v>
      </c>
      <c r="F378" t="inlineStr">
        <is>
          <t>KRONOBERGS LÄN</t>
        </is>
      </c>
      <c r="G378" t="inlineStr">
        <is>
          <t>LJUNGBY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43643-2025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45911</v>
      </c>
      <c r="E379" s="1" t="n">
        <v>46225</v>
      </c>
      <c r="F379" t="inlineStr">
        <is>
          <t>KRONOBERGS LÄN</t>
        </is>
      </c>
      <c r="G379" t="inlineStr">
        <is>
          <t>LJUNGBY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9070-2026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46069</v>
      </c>
      <c r="E380" s="1" t="n">
        <v>46225</v>
      </c>
      <c r="F380" t="inlineStr">
        <is>
          <t>KRONOBERGS LÄN</t>
        </is>
      </c>
      <c r="G380" t="inlineStr">
        <is>
          <t>LJUNGBY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46225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46225</v>
      </c>
      <c r="F382" t="inlineStr">
        <is>
          <t>KRONOBERGS LÄN</t>
        </is>
      </c>
      <c r="G382" t="inlineStr">
        <is>
          <t>LJUNGBY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20365-2025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45775</v>
      </c>
      <c r="E383" s="1" t="n">
        <v>46225</v>
      </c>
      <c r="F383" t="inlineStr">
        <is>
          <t>KRONOBERGS LÄN</t>
        </is>
      </c>
      <c r="G383" t="inlineStr">
        <is>
          <t>LJUNGBY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44338-2025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46225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45723</v>
      </c>
      <c r="E385" s="1" t="n">
        <v>46225</v>
      </c>
      <c r="F385" t="inlineStr">
        <is>
          <t>KRONOBERGS LÄN</t>
        </is>
      </c>
      <c r="G385" t="inlineStr">
        <is>
          <t>LJUNGBY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43922-2025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45914</v>
      </c>
      <c r="E386" s="1" t="n">
        <v>46225</v>
      </c>
      <c r="F386" t="inlineStr">
        <is>
          <t>KRONOBERGS LÄN</t>
        </is>
      </c>
      <c r="G386" t="inlineStr">
        <is>
          <t>LJUNGBY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46225</v>
      </c>
      <c r="F387" t="inlineStr">
        <is>
          <t>KRONOBERGS LÄN</t>
        </is>
      </c>
      <c r="G387" t="inlineStr">
        <is>
          <t>LJUNGBY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34738-2025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45848</v>
      </c>
      <c r="E388" s="1" t="n">
        <v>46225</v>
      </c>
      <c r="F388" t="inlineStr">
        <is>
          <t>KRONOBERGS LÄN</t>
        </is>
      </c>
      <c r="G388" t="inlineStr">
        <is>
          <t>LJUNGBY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45848</v>
      </c>
      <c r="E389" s="1" t="n">
        <v>46225</v>
      </c>
      <c r="F389" t="inlineStr">
        <is>
          <t>KRONOBERGS LÄN</t>
        </is>
      </c>
      <c r="G389" t="inlineStr">
        <is>
          <t>LJUNGBY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44676-2025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45917</v>
      </c>
      <c r="E390" s="1" t="n">
        <v>46225</v>
      </c>
      <c r="F390" t="inlineStr">
        <is>
          <t>KRONOBERGS LÄN</t>
        </is>
      </c>
      <c r="G390" t="inlineStr">
        <is>
          <t>LJUNGBY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44684-2025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45917</v>
      </c>
      <c r="E391" s="1" t="n">
        <v>46225</v>
      </c>
      <c r="F391" t="inlineStr">
        <is>
          <t>KRONOBERGS LÄN</t>
        </is>
      </c>
      <c r="G391" t="inlineStr">
        <is>
          <t>LJUNGBY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45730</v>
      </c>
      <c r="E392" s="1" t="n">
        <v>46225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46225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46225</v>
      </c>
      <c r="F394" t="inlineStr">
        <is>
          <t>KRONOBERGS LÄN</t>
        </is>
      </c>
      <c r="G394" t="inlineStr">
        <is>
          <t>LJUNGBY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46077</v>
      </c>
      <c r="E395" s="1" t="n">
        <v>46225</v>
      </c>
      <c r="F395" t="inlineStr">
        <is>
          <t>KRONOBERGS LÄN</t>
        </is>
      </c>
      <c r="G395" t="inlineStr">
        <is>
          <t>LJUNGBY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45917</v>
      </c>
      <c r="E396" s="1" t="n">
        <v>46225</v>
      </c>
      <c r="F396" t="inlineStr">
        <is>
          <t>KRONOBERGS LÄN</t>
        </is>
      </c>
      <c r="G396" t="inlineStr">
        <is>
          <t>LJUNGBY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35038-2025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45852</v>
      </c>
      <c r="E397" s="1" t="n">
        <v>46225</v>
      </c>
      <c r="F397" t="inlineStr">
        <is>
          <t>KRONOBERGS LÄN</t>
        </is>
      </c>
      <c r="G397" t="inlineStr">
        <is>
          <t>LJUNGBY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46225</v>
      </c>
      <c r="F398" t="inlineStr">
        <is>
          <t>KRONOBERGS LÄN</t>
        </is>
      </c>
      <c r="G398" t="inlineStr">
        <is>
          <t>LJUNGBY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46225</v>
      </c>
      <c r="F399" t="inlineStr">
        <is>
          <t>KRONOBERGS LÄN</t>
        </is>
      </c>
      <c r="G399" t="inlineStr">
        <is>
          <t>LJUNGBY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45735</v>
      </c>
      <c r="E400" s="1" t="n">
        <v>46225</v>
      </c>
      <c r="F400" t="inlineStr">
        <is>
          <t>KRONOBERGS LÄN</t>
        </is>
      </c>
      <c r="G400" t="inlineStr">
        <is>
          <t>LJUNGBY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14844-2022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44656</v>
      </c>
      <c r="E401" s="1" t="n">
        <v>46225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46225</v>
      </c>
      <c r="F402" t="inlineStr">
        <is>
          <t>KRONOBERGS LÄN</t>
        </is>
      </c>
      <c r="G402" t="inlineStr">
        <is>
          <t>LJUNGBY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45742</v>
      </c>
      <c r="E403" s="1" t="n">
        <v>46225</v>
      </c>
      <c r="F403" t="inlineStr">
        <is>
          <t>KRONOBERGS LÄN</t>
        </is>
      </c>
      <c r="G403" t="inlineStr">
        <is>
          <t>LJUNGBY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45919</v>
      </c>
      <c r="E404" s="1" t="n">
        <v>46225</v>
      </c>
      <c r="F404" t="inlineStr">
        <is>
          <t>KRONOBERGS LÄN</t>
        </is>
      </c>
      <c r="G404" t="inlineStr">
        <is>
          <t>LJUNGBY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46225</v>
      </c>
      <c r="F405" t="inlineStr">
        <is>
          <t>KRONOBERGS LÄN</t>
        </is>
      </c>
      <c r="G405" t="inlineStr">
        <is>
          <t>LJUNGBY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46225</v>
      </c>
      <c r="F406" t="inlineStr">
        <is>
          <t>KRONOBERGS LÄN</t>
        </is>
      </c>
      <c r="G406" t="inlineStr">
        <is>
          <t>LJUNGBY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46225</v>
      </c>
      <c r="F407" t="inlineStr">
        <is>
          <t>KRONOBERGS LÄN</t>
        </is>
      </c>
      <c r="G407" t="inlineStr">
        <is>
          <t>LJUNGBY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45667</v>
      </c>
      <c r="E408" s="1" t="n">
        <v>46225</v>
      </c>
      <c r="F408" t="inlineStr">
        <is>
          <t>KRONOBERGS LÄN</t>
        </is>
      </c>
      <c r="G408" t="inlineStr">
        <is>
          <t>LJUNGBY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46225</v>
      </c>
      <c r="F409" t="inlineStr">
        <is>
          <t>KRONOBERGS LÄN</t>
        </is>
      </c>
      <c r="G409" t="inlineStr">
        <is>
          <t>LJUNGBY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45109</v>
      </c>
      <c r="E410" s="1" t="n">
        <v>46225</v>
      </c>
      <c r="F410" t="inlineStr">
        <is>
          <t>KRONOBERGS LÄN</t>
        </is>
      </c>
      <c r="G410" t="inlineStr">
        <is>
          <t>LJUNGBY</t>
        </is>
      </c>
      <c r="I410" t="n">
        <v>13.6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45530</v>
      </c>
      <c r="E411" s="1" t="n">
        <v>46225</v>
      </c>
      <c r="F411" t="inlineStr">
        <is>
          <t>KRONOBERGS LÄN</t>
        </is>
      </c>
      <c r="G411" t="inlineStr">
        <is>
          <t>LJUNGBY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46225</v>
      </c>
      <c r="F412" t="inlineStr">
        <is>
          <t>KRONOBERGS LÄN</t>
        </is>
      </c>
      <c r="G412" t="inlineStr">
        <is>
          <t>LJUNGBY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45925</v>
      </c>
      <c r="E413" s="1" t="n">
        <v>46225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46509-2025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45925</v>
      </c>
      <c r="E414" s="1" t="n">
        <v>46225</v>
      </c>
      <c r="F414" t="inlineStr">
        <is>
          <t>KRONOBERGS LÄN</t>
        </is>
      </c>
      <c r="G414" t="inlineStr">
        <is>
          <t>LJUNGBY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46229-2025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45924</v>
      </c>
      <c r="E415" s="1" t="n">
        <v>46225</v>
      </c>
      <c r="F415" t="inlineStr">
        <is>
          <t>KRONOBERGS LÄN</t>
        </is>
      </c>
      <c r="G415" t="inlineStr">
        <is>
          <t>LJUNGBY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46225-2025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46225</v>
      </c>
      <c r="F416" t="inlineStr">
        <is>
          <t>KRONOBERGS LÄN</t>
        </is>
      </c>
      <c r="G416" t="inlineStr">
        <is>
          <t>LJUNGBY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46225</v>
      </c>
      <c r="F417" t="inlineStr">
        <is>
          <t>KRONOBERGS LÄN</t>
        </is>
      </c>
      <c r="G417" t="inlineStr">
        <is>
          <t>LJUNGBY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46501-2025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46225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45860</v>
      </c>
      <c r="E419" s="1" t="n">
        <v>46225</v>
      </c>
      <c r="F419" t="inlineStr">
        <is>
          <t>KRONOBERGS LÄN</t>
        </is>
      </c>
      <c r="G419" t="inlineStr">
        <is>
          <t>LJUNGBY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46225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46225</v>
      </c>
      <c r="F421" t="inlineStr">
        <is>
          <t>KRONOBERGS LÄN</t>
        </is>
      </c>
      <c r="G421" t="inlineStr">
        <is>
          <t>LJUNGBY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46087</v>
      </c>
      <c r="E422" s="1" t="n">
        <v>46225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12720-2026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46091</v>
      </c>
      <c r="E423" s="1" t="n">
        <v>46225</v>
      </c>
      <c r="F423" t="inlineStr">
        <is>
          <t>KRONOBERGS LÄN</t>
        </is>
      </c>
      <c r="G423" t="inlineStr">
        <is>
          <t>LJUNGBY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46091</v>
      </c>
      <c r="E424" s="1" t="n">
        <v>46225</v>
      </c>
      <c r="F424" t="inlineStr">
        <is>
          <t>KRONOBERGS LÄN</t>
        </is>
      </c>
      <c r="G424" t="inlineStr">
        <is>
          <t>LJUNGBY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45869</v>
      </c>
      <c r="E425" s="1" t="n">
        <v>46225</v>
      </c>
      <c r="F425" t="inlineStr">
        <is>
          <t>KRONOBERGS LÄN</t>
        </is>
      </c>
      <c r="G425" t="inlineStr">
        <is>
          <t>LJUNGBY</t>
        </is>
      </c>
      <c r="H425" t="inlineStr">
        <is>
          <t>Kyrkan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36460-2025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45869</v>
      </c>
      <c r="E426" s="1" t="n">
        <v>46225</v>
      </c>
      <c r="F426" t="inlineStr">
        <is>
          <t>KRONOBERGS LÄN</t>
        </is>
      </c>
      <c r="G426" t="inlineStr">
        <is>
          <t>LJUNGBY</t>
        </is>
      </c>
      <c r="H426" t="inlineStr">
        <is>
          <t>Kyrkan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45869</v>
      </c>
      <c r="E427" s="1" t="n">
        <v>46225</v>
      </c>
      <c r="F427" t="inlineStr">
        <is>
          <t>KRONOBERGS LÄN</t>
        </is>
      </c>
      <c r="G427" t="inlineStr">
        <is>
          <t>LJUNGBY</t>
        </is>
      </c>
      <c r="H427" t="inlineStr">
        <is>
          <t>Kyrkan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59692-2022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44908</v>
      </c>
      <c r="E428" s="1" t="n">
        <v>46225</v>
      </c>
      <c r="F428" t="inlineStr">
        <is>
          <t>KRONOBERGS LÄN</t>
        </is>
      </c>
      <c r="G428" t="inlineStr">
        <is>
          <t>LJUNGBY</t>
        </is>
      </c>
      <c r="H428" t="inlineStr">
        <is>
          <t>Sveaskog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45481</v>
      </c>
      <c r="E429" s="1" t="n">
        <v>46225</v>
      </c>
      <c r="F429" t="inlineStr">
        <is>
          <t>KRONOBERGS LÄN</t>
        </is>
      </c>
      <c r="G429" t="inlineStr">
        <is>
          <t>LJUNGBY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45783</v>
      </c>
      <c r="E430" s="1" t="n">
        <v>46225</v>
      </c>
      <c r="F430" t="inlineStr">
        <is>
          <t>KRONOBERGS LÄN</t>
        </is>
      </c>
      <c r="G430" t="inlineStr">
        <is>
          <t>LJUNGBY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16128-2023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45026</v>
      </c>
      <c r="E431" s="1" t="n">
        <v>46225</v>
      </c>
      <c r="F431" t="inlineStr">
        <is>
          <t>KRONOBERGS LÄN</t>
        </is>
      </c>
      <c r="G431" t="inlineStr">
        <is>
          <t>LJUNGBY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46150-2022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44847</v>
      </c>
      <c r="E432" s="1" t="n">
        <v>46225</v>
      </c>
      <c r="F432" t="inlineStr">
        <is>
          <t>KRONOBERGS LÄN</t>
        </is>
      </c>
      <c r="G432" t="inlineStr">
        <is>
          <t>LJUNGBY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54182-2022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46225</v>
      </c>
      <c r="F433" t="inlineStr">
        <is>
          <t>KRONOBERGS LÄN</t>
        </is>
      </c>
      <c r="G433" t="inlineStr">
        <is>
          <t>LJUNGBY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49179-2022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44860</v>
      </c>
      <c r="E434" s="1" t="n">
        <v>46225</v>
      </c>
      <c r="F434" t="inlineStr">
        <is>
          <t>KRONOBERGS LÄN</t>
        </is>
      </c>
      <c r="G434" t="inlineStr">
        <is>
          <t>LJUNGBY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44917</v>
      </c>
      <c r="E435" s="1" t="n">
        <v>46225</v>
      </c>
      <c r="F435" t="inlineStr">
        <is>
          <t>KRONOBERGS LÄN</t>
        </is>
      </c>
      <c r="G435" t="inlineStr">
        <is>
          <t>LJUNGBY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46225</v>
      </c>
      <c r="F436" t="inlineStr">
        <is>
          <t>KRONOBERGS LÄN</t>
        </is>
      </c>
      <c r="G436" t="inlineStr">
        <is>
          <t>LJUNGBY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46225</v>
      </c>
      <c r="F437" t="inlineStr">
        <is>
          <t>KRONOBERGS LÄN</t>
        </is>
      </c>
      <c r="G437" t="inlineStr">
        <is>
          <t>LJUNGBY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45396</v>
      </c>
      <c r="E438" s="1" t="n">
        <v>46225</v>
      </c>
      <c r="F438" t="inlineStr">
        <is>
          <t>KRONOBERGS LÄN</t>
        </is>
      </c>
      <c r="G438" t="inlineStr">
        <is>
          <t>LJUNGBY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45701</v>
      </c>
      <c r="E439" s="1" t="n">
        <v>46225</v>
      </c>
      <c r="F439" t="inlineStr">
        <is>
          <t>KRONOBERGS LÄN</t>
        </is>
      </c>
      <c r="G439" t="inlineStr">
        <is>
          <t>LJUNGBY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45425</v>
      </c>
      <c r="E440" s="1" t="n">
        <v>46225</v>
      </c>
      <c r="F440" t="inlineStr">
        <is>
          <t>KRONOBERGS LÄN</t>
        </is>
      </c>
      <c r="G440" t="inlineStr">
        <is>
          <t>LJUNGBY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65062-2021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46225</v>
      </c>
      <c r="F441" t="inlineStr">
        <is>
          <t>KRONOBERGS LÄN</t>
        </is>
      </c>
      <c r="G441" t="inlineStr">
        <is>
          <t>LJUNGBY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65066-2021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44515</v>
      </c>
      <c r="E442" s="1" t="n">
        <v>46225</v>
      </c>
      <c r="F442" t="inlineStr">
        <is>
          <t>KRONOBERGS LÄN</t>
        </is>
      </c>
      <c r="G442" t="inlineStr">
        <is>
          <t>LJUNGBY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70888-2021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44538</v>
      </c>
      <c r="E443" s="1" t="n">
        <v>46225</v>
      </c>
      <c r="F443" t="inlineStr">
        <is>
          <t>KRONOBERGS LÄN</t>
        </is>
      </c>
      <c r="G443" t="inlineStr">
        <is>
          <t>LJUNGBY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54177-2022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46225</v>
      </c>
      <c r="F444" t="inlineStr">
        <is>
          <t>KRONOBERGS LÄN</t>
        </is>
      </c>
      <c r="G444" t="inlineStr">
        <is>
          <t>LJUNGBY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46225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46225</v>
      </c>
      <c r="F446" t="inlineStr">
        <is>
          <t>KRONOBERGS LÄN</t>
        </is>
      </c>
      <c r="G446" t="inlineStr">
        <is>
          <t>LJUNGBY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45701</v>
      </c>
      <c r="E447" s="1" t="n">
        <v>46225</v>
      </c>
      <c r="F447" t="inlineStr">
        <is>
          <t>KRONOBERGS LÄN</t>
        </is>
      </c>
      <c r="G447" t="inlineStr">
        <is>
          <t>LJUNGBY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62717-2023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45271</v>
      </c>
      <c r="E448" s="1" t="n">
        <v>46225</v>
      </c>
      <c r="F448" t="inlineStr">
        <is>
          <t>KRONOBERGS LÄN</t>
        </is>
      </c>
      <c r="G448" t="inlineStr">
        <is>
          <t>LJUNGBY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45301</v>
      </c>
      <c r="E449" s="1" t="n">
        <v>46225</v>
      </c>
      <c r="F449" t="inlineStr">
        <is>
          <t>KRONOBERGS LÄN</t>
        </is>
      </c>
      <c r="G449" t="inlineStr">
        <is>
          <t>LJUNGBY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45211</v>
      </c>
      <c r="E450" s="1" t="n">
        <v>46225</v>
      </c>
      <c r="F450" t="inlineStr">
        <is>
          <t>KRONOBERGS LÄN</t>
        </is>
      </c>
      <c r="G450" t="inlineStr">
        <is>
          <t>LJUNGBY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1062-2024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45301</v>
      </c>
      <c r="E451" s="1" t="n">
        <v>46225</v>
      </c>
      <c r="F451" t="inlineStr">
        <is>
          <t>KRONOBERGS LÄN</t>
        </is>
      </c>
      <c r="G451" t="inlineStr">
        <is>
          <t>LJUNGBY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46094</v>
      </c>
      <c r="E452" s="1" t="n">
        <v>46225</v>
      </c>
      <c r="F452" t="inlineStr">
        <is>
          <t>KRONOBERGS LÄN</t>
        </is>
      </c>
      <c r="G452" t="inlineStr">
        <is>
          <t>LJUNGBY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34475-2025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45847</v>
      </c>
      <c r="E453" s="1" t="n">
        <v>46225</v>
      </c>
      <c r="F453" t="inlineStr">
        <is>
          <t>KRONOBERGS LÄN</t>
        </is>
      </c>
      <c r="G453" t="inlineStr">
        <is>
          <t>LJUNGBY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46097</v>
      </c>
      <c r="E454" s="1" t="n">
        <v>46225</v>
      </c>
      <c r="F454" t="inlineStr">
        <is>
          <t>KRONOBERGS LÄN</t>
        </is>
      </c>
      <c r="G454" t="inlineStr">
        <is>
          <t>LJUNGBY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51274-2021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44461</v>
      </c>
      <c r="E455" s="1" t="n">
        <v>46225</v>
      </c>
      <c r="F455" t="inlineStr">
        <is>
          <t>KRONOBERGS LÄN</t>
        </is>
      </c>
      <c r="G455" t="inlineStr">
        <is>
          <t>LJUNGBY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44621</v>
      </c>
      <c r="E456" s="1" t="n">
        <v>46225</v>
      </c>
      <c r="F456" t="inlineStr">
        <is>
          <t>KRONOBERGS LÄN</t>
        </is>
      </c>
      <c r="G456" t="inlineStr">
        <is>
          <t>LJUNGBY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44715</v>
      </c>
      <c r="E457" s="1" t="n">
        <v>46225</v>
      </c>
      <c r="F457" t="inlineStr">
        <is>
          <t>KRONOBERGS LÄN</t>
        </is>
      </c>
      <c r="G457" t="inlineStr">
        <is>
          <t>LJUNGBY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13998-2025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45739</v>
      </c>
      <c r="E458" s="1" t="n">
        <v>46225</v>
      </c>
      <c r="F458" t="inlineStr">
        <is>
          <t>KRONOBERGS LÄN</t>
        </is>
      </c>
      <c r="G458" t="inlineStr">
        <is>
          <t>LJUNGBY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13757-2026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46097</v>
      </c>
      <c r="E459" s="1" t="n">
        <v>46225</v>
      </c>
      <c r="F459" t="inlineStr">
        <is>
          <t>KRONOBERGS LÄN</t>
        </is>
      </c>
      <c r="G459" t="inlineStr">
        <is>
          <t>LJUNGBY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46225</v>
      </c>
      <c r="F460" t="inlineStr">
        <is>
          <t>KRONOBERGS LÄN</t>
        </is>
      </c>
      <c r="G460" t="inlineStr">
        <is>
          <t>LJUNGBY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14561-2024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46225</v>
      </c>
      <c r="F461" t="inlineStr">
        <is>
          <t>KRONOBERGS LÄN</t>
        </is>
      </c>
      <c r="G461" t="inlineStr">
        <is>
          <t>LJUNGBY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35170-2023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45145</v>
      </c>
      <c r="E462" s="1" t="n">
        <v>46225</v>
      </c>
      <c r="F462" t="inlineStr">
        <is>
          <t>KRONOBERGS LÄN</t>
        </is>
      </c>
      <c r="G462" t="inlineStr">
        <is>
          <t>LJUNGBY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45676</v>
      </c>
      <c r="E463" s="1" t="n">
        <v>46225</v>
      </c>
      <c r="F463" t="inlineStr">
        <is>
          <t>KRONOBERGS LÄN</t>
        </is>
      </c>
      <c r="G463" t="inlineStr">
        <is>
          <t>LJUNGBY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45750</v>
      </c>
      <c r="E464" s="1" t="n">
        <v>46225</v>
      </c>
      <c r="F464" t="inlineStr">
        <is>
          <t>KRONOBERGS LÄN</t>
        </is>
      </c>
      <c r="G464" t="inlineStr">
        <is>
          <t>LJUNGBY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51276-2021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44461</v>
      </c>
      <c r="E465" s="1" t="n">
        <v>46225</v>
      </c>
      <c r="F465" t="inlineStr">
        <is>
          <t>KRONOBERGS LÄN</t>
        </is>
      </c>
      <c r="G465" t="inlineStr">
        <is>
          <t>LJUNGBY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46856-2021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44446</v>
      </c>
      <c r="E466" s="1" t="n">
        <v>46225</v>
      </c>
      <c r="F466" t="inlineStr">
        <is>
          <t>KRONOBERGS LÄN</t>
        </is>
      </c>
      <c r="G466" t="inlineStr">
        <is>
          <t>LJUNGBY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46097</v>
      </c>
      <c r="E467" s="1" t="n">
        <v>46225</v>
      </c>
      <c r="F467" t="inlineStr">
        <is>
          <t>KRONOBERGS LÄN</t>
        </is>
      </c>
      <c r="G467" t="inlineStr">
        <is>
          <t>LJUNGBY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44345-2021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44435</v>
      </c>
      <c r="E468" s="1" t="n">
        <v>46225</v>
      </c>
      <c r="F468" t="inlineStr">
        <is>
          <t>KRONOBERGS LÄN</t>
        </is>
      </c>
      <c r="G468" t="inlineStr">
        <is>
          <t>LJUNGBY</t>
        </is>
      </c>
      <c r="H468" t="inlineStr">
        <is>
          <t>Kyrkan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25152-2023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45079</v>
      </c>
      <c r="E469" s="1" t="n">
        <v>46225</v>
      </c>
      <c r="F469" t="inlineStr">
        <is>
          <t>KRONOBERGS LÄN</t>
        </is>
      </c>
      <c r="G469" t="inlineStr">
        <is>
          <t>LJUNGBY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46225</v>
      </c>
      <c r="F470" t="inlineStr">
        <is>
          <t>KRONOBERGS LÄN</t>
        </is>
      </c>
      <c r="G470" t="inlineStr">
        <is>
          <t>LJUNGBY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45274</v>
      </c>
      <c r="E471" s="1" t="n">
        <v>46225</v>
      </c>
      <c r="F471" t="inlineStr">
        <is>
          <t>KRONOBERGS LÄN</t>
        </is>
      </c>
      <c r="G471" t="inlineStr">
        <is>
          <t>LJUNGBY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45145</v>
      </c>
      <c r="E472" s="1" t="n">
        <v>46225</v>
      </c>
      <c r="F472" t="inlineStr">
        <is>
          <t>KRONOBERGS LÄN</t>
        </is>
      </c>
      <c r="G472" t="inlineStr">
        <is>
          <t>LJUNGBY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13748-2026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46097</v>
      </c>
      <c r="E473" s="1" t="n">
        <v>46225</v>
      </c>
      <c r="F473" t="inlineStr">
        <is>
          <t>KRONOBERGS LÄN</t>
        </is>
      </c>
      <c r="G473" t="inlineStr">
        <is>
          <t>LJUNGBY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57875-2023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45247</v>
      </c>
      <c r="E474" s="1" t="n">
        <v>46225</v>
      </c>
      <c r="F474" t="inlineStr">
        <is>
          <t>KRONOBERGS LÄN</t>
        </is>
      </c>
      <c r="G474" t="inlineStr">
        <is>
          <t>LJUNGBY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46225</v>
      </c>
      <c r="F475" t="inlineStr">
        <is>
          <t>KRONOBERGS LÄN</t>
        </is>
      </c>
      <c r="G475" t="inlineStr">
        <is>
          <t>LJUNGBY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46225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13777-2026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46225</v>
      </c>
      <c r="F477" t="inlineStr">
        <is>
          <t>KRONOBERGS LÄN</t>
        </is>
      </c>
      <c r="G477" t="inlineStr">
        <is>
          <t>LJUNGBY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13781-2026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46097</v>
      </c>
      <c r="E478" s="1" t="n">
        <v>46225</v>
      </c>
      <c r="F478" t="inlineStr">
        <is>
          <t>KRONOBERGS LÄN</t>
        </is>
      </c>
      <c r="G478" t="inlineStr">
        <is>
          <t>LJUNGBY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13741-2026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46097</v>
      </c>
      <c r="E479" s="1" t="n">
        <v>46225</v>
      </c>
      <c r="F479" t="inlineStr">
        <is>
          <t>KRONOBERGS LÄN</t>
        </is>
      </c>
      <c r="G479" t="inlineStr">
        <is>
          <t>LJUNGBY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45647</v>
      </c>
      <c r="E480" s="1" t="n">
        <v>46225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45301</v>
      </c>
      <c r="E481" s="1" t="n">
        <v>46225</v>
      </c>
      <c r="F481" t="inlineStr">
        <is>
          <t>KRONOBERGS LÄN</t>
        </is>
      </c>
      <c r="G481" t="inlineStr">
        <is>
          <t>LJUNGBY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49552-2023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46225</v>
      </c>
      <c r="F482" t="inlineStr">
        <is>
          <t>KRONOBERGS LÄN</t>
        </is>
      </c>
      <c r="G482" t="inlineStr">
        <is>
          <t>LJUNGBY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46225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37087-2025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45875</v>
      </c>
      <c r="E484" s="1" t="n">
        <v>46225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49339-2025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45938</v>
      </c>
      <c r="E485" s="1" t="n">
        <v>46225</v>
      </c>
      <c r="F485" t="inlineStr">
        <is>
          <t>KRONOBERGS LÄN</t>
        </is>
      </c>
      <c r="G485" t="inlineStr">
        <is>
          <t>LJUNGBY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46225</v>
      </c>
      <c r="F486" t="inlineStr">
        <is>
          <t>KRONOBERGS LÄN</t>
        </is>
      </c>
      <c r="G486" t="inlineStr">
        <is>
          <t>LJUNGBY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13797-2026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46225</v>
      </c>
      <c r="F487" t="inlineStr">
        <is>
          <t>KRONOBERGS LÄN</t>
        </is>
      </c>
      <c r="G487" t="inlineStr">
        <is>
          <t>LJUNGBY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46225</v>
      </c>
      <c r="F488" t="inlineStr">
        <is>
          <t>KRONOBERGS LÄN</t>
        </is>
      </c>
      <c r="G488" t="inlineStr">
        <is>
          <t>LJUNGBY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45880</v>
      </c>
      <c r="E489" s="1" t="n">
        <v>46225</v>
      </c>
      <c r="F489" t="inlineStr">
        <is>
          <t>KRONOBERGS LÄN</t>
        </is>
      </c>
      <c r="G489" t="inlineStr">
        <is>
          <t>LJUNGBY</t>
        </is>
      </c>
      <c r="I489" t="n">
        <v>8.800000000000001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45940</v>
      </c>
      <c r="E490" s="1" t="n">
        <v>46225</v>
      </c>
      <c r="F490" t="inlineStr">
        <is>
          <t>KRONOBERGS LÄN</t>
        </is>
      </c>
      <c r="G490" t="inlineStr">
        <is>
          <t>LJUNGBY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45940</v>
      </c>
      <c r="E491" s="1" t="n">
        <v>46225</v>
      </c>
      <c r="F491" t="inlineStr">
        <is>
          <t>KRONOBERGS LÄN</t>
        </is>
      </c>
      <c r="G491" t="inlineStr">
        <is>
          <t>LJUNGBY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46225</v>
      </c>
      <c r="F492" t="inlineStr">
        <is>
          <t>KRONOBERGS LÄN</t>
        </is>
      </c>
      <c r="G492" t="inlineStr">
        <is>
          <t>LJUNGBY</t>
        </is>
      </c>
      <c r="I492" t="n">
        <v>9.5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45881</v>
      </c>
      <c r="E493" s="1" t="n">
        <v>46225</v>
      </c>
      <c r="F493" t="inlineStr">
        <is>
          <t>KRONOBERGS LÄN</t>
        </is>
      </c>
      <c r="G493" t="inlineStr">
        <is>
          <t>LJUNGBY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45881</v>
      </c>
      <c r="E494" s="1" t="n">
        <v>46225</v>
      </c>
      <c r="F494" t="inlineStr">
        <is>
          <t>KRONOBERGS LÄN</t>
        </is>
      </c>
      <c r="G494" t="inlineStr">
        <is>
          <t>LJUNGBY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61193-2022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44915</v>
      </c>
      <c r="E495" s="1" t="n">
        <v>46225</v>
      </c>
      <c r="F495" t="inlineStr">
        <is>
          <t>KRONOBERGS LÄN</t>
        </is>
      </c>
      <c r="G495" t="inlineStr">
        <is>
          <t>LJUNGBY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63719-2023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45275</v>
      </c>
      <c r="E496" s="1" t="n">
        <v>46225</v>
      </c>
      <c r="F496" t="inlineStr">
        <is>
          <t>KRONOBERGS LÄN</t>
        </is>
      </c>
      <c r="G496" t="inlineStr">
        <is>
          <t>LJUNGBY</t>
        </is>
      </c>
      <c r="H496" t="inlineStr">
        <is>
          <t>Kyrkan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50581-2025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45945</v>
      </c>
      <c r="E497" s="1" t="n">
        <v>46225</v>
      </c>
      <c r="F497" t="inlineStr">
        <is>
          <t>KRONOBERGS LÄN</t>
        </is>
      </c>
      <c r="G497" t="inlineStr">
        <is>
          <t>LJUNGBY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50592-2025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45945</v>
      </c>
      <c r="E498" s="1" t="n">
        <v>46225</v>
      </c>
      <c r="F498" t="inlineStr">
        <is>
          <t>KRONOBERGS LÄN</t>
        </is>
      </c>
      <c r="G498" t="inlineStr">
        <is>
          <t>LJUNGBY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46225</v>
      </c>
      <c r="F499" t="inlineStr">
        <is>
          <t>KRONOBERGS LÄN</t>
        </is>
      </c>
      <c r="G499" t="inlineStr">
        <is>
          <t>LJUNGBY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46104</v>
      </c>
      <c r="E500" s="1" t="n">
        <v>46225</v>
      </c>
      <c r="F500" t="inlineStr">
        <is>
          <t>KRONOBERGS LÄN</t>
        </is>
      </c>
      <c r="G500" t="inlineStr">
        <is>
          <t>LJUNGBY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50862-2025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45946</v>
      </c>
      <c r="E501" s="1" t="n">
        <v>46225</v>
      </c>
      <c r="F501" t="inlineStr">
        <is>
          <t>KRONOBERGS LÄN</t>
        </is>
      </c>
      <c r="G501" t="inlineStr">
        <is>
          <t>LJUNGBY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46107</v>
      </c>
      <c r="E502" s="1" t="n">
        <v>46225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46225</v>
      </c>
      <c r="F503" t="inlineStr">
        <is>
          <t>KRONOBERGS LÄN</t>
        </is>
      </c>
      <c r="G503" t="inlineStr">
        <is>
          <t>LJUNGBY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46225</v>
      </c>
      <c r="F504" t="inlineStr">
        <is>
          <t>KRONOBERGS LÄN</t>
        </is>
      </c>
      <c r="G504" t="inlineStr">
        <is>
          <t>LJUNGBY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46225</v>
      </c>
      <c r="F505" t="inlineStr">
        <is>
          <t>KRONOBERGS LÄN</t>
        </is>
      </c>
      <c r="G505" t="inlineStr">
        <is>
          <t>LJUNGBY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51481-2025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46225</v>
      </c>
      <c r="F506" t="inlineStr">
        <is>
          <t>KRONOBERGS LÄN</t>
        </is>
      </c>
      <c r="G506" t="inlineStr">
        <is>
          <t>LJUNGBY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46225</v>
      </c>
      <c r="F507" t="inlineStr">
        <is>
          <t>KRONOBERGS LÄN</t>
        </is>
      </c>
      <c r="G507" t="inlineStr">
        <is>
          <t>LJUNGBY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46107</v>
      </c>
      <c r="E508" s="1" t="n">
        <v>46225</v>
      </c>
      <c r="F508" t="inlineStr">
        <is>
          <t>KRONOBERGS LÄN</t>
        </is>
      </c>
      <c r="G508" t="inlineStr">
        <is>
          <t>LJUNGBY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51390-2025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45950</v>
      </c>
      <c r="E509" s="1" t="n">
        <v>46225</v>
      </c>
      <c r="F509" t="inlineStr">
        <is>
          <t>KRONOBERGS LÄN</t>
        </is>
      </c>
      <c r="G509" t="inlineStr">
        <is>
          <t>LJUNGBY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51459-2025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45950</v>
      </c>
      <c r="E510" s="1" t="n">
        <v>46225</v>
      </c>
      <c r="F510" t="inlineStr">
        <is>
          <t>KRONOBERGS LÄN</t>
        </is>
      </c>
      <c r="G510" t="inlineStr">
        <is>
          <t>LJUNGBY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45950</v>
      </c>
      <c r="E511" s="1" t="n">
        <v>46225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8901-2024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45357</v>
      </c>
      <c r="E512" s="1" t="n">
        <v>46225</v>
      </c>
      <c r="F512" t="inlineStr">
        <is>
          <t>KRONOBERGS LÄN</t>
        </is>
      </c>
      <c r="G512" t="inlineStr">
        <is>
          <t>LJUNGBY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46111</v>
      </c>
      <c r="E513" s="1" t="n">
        <v>46225</v>
      </c>
      <c r="F513" t="inlineStr">
        <is>
          <t>KRONOBERGS LÄN</t>
        </is>
      </c>
      <c r="G513" t="inlineStr">
        <is>
          <t>LJUNGBY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16275-2026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46225</v>
      </c>
      <c r="F514" t="inlineStr">
        <is>
          <t>KRONOBERGS LÄN</t>
        </is>
      </c>
      <c r="G514" t="inlineStr">
        <is>
          <t>LJUNGBY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45137</v>
      </c>
      <c r="E515" s="1" t="n">
        <v>46225</v>
      </c>
      <c r="F515" t="inlineStr">
        <is>
          <t>KRONOBERGS LÄN</t>
        </is>
      </c>
      <c r="G515" t="inlineStr">
        <is>
          <t>LJUNGBY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45911</v>
      </c>
      <c r="E516" s="1" t="n">
        <v>46225</v>
      </c>
      <c r="F516" t="inlineStr">
        <is>
          <t>KRONOBERGS LÄN</t>
        </is>
      </c>
      <c r="G516" t="inlineStr">
        <is>
          <t>LJUNGBY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46113</v>
      </c>
      <c r="E517" s="1" t="n">
        <v>46225</v>
      </c>
      <c r="F517" t="inlineStr">
        <is>
          <t>KRONOBERGS LÄN</t>
        </is>
      </c>
      <c r="G517" t="inlineStr">
        <is>
          <t>LJUNGBY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16775-2026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46113</v>
      </c>
      <c r="E518" s="1" t="n">
        <v>46225</v>
      </c>
      <c r="F518" t="inlineStr">
        <is>
          <t>KRONOBERGS LÄN</t>
        </is>
      </c>
      <c r="G518" t="inlineStr">
        <is>
          <t>LJUNGBY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16779-2026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46113</v>
      </c>
      <c r="E519" s="1" t="n">
        <v>46225</v>
      </c>
      <c r="F519" t="inlineStr">
        <is>
          <t>KRONOBERGS LÄN</t>
        </is>
      </c>
      <c r="G519" t="inlineStr">
        <is>
          <t>LJUNGBY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64358-2023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45280</v>
      </c>
      <c r="E520" s="1" t="n">
        <v>46225</v>
      </c>
      <c r="F520" t="inlineStr">
        <is>
          <t>KRONOBERGS LÄN</t>
        </is>
      </c>
      <c r="G520" t="inlineStr">
        <is>
          <t>LJUNGBY</t>
        </is>
      </c>
      <c r="H520" t="inlineStr">
        <is>
          <t>Kyrkan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46225</v>
      </c>
      <c r="F521" t="inlineStr">
        <is>
          <t>KRONOBERGS LÄN</t>
        </is>
      </c>
      <c r="G521" t="inlineStr">
        <is>
          <t>LJUNGBY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46113</v>
      </c>
      <c r="E522" s="1" t="n">
        <v>46225</v>
      </c>
      <c r="F522" t="inlineStr">
        <is>
          <t>KRONOBERGS LÄN</t>
        </is>
      </c>
      <c r="G522" t="inlineStr">
        <is>
          <t>LJUNGBY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52709-2022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44874</v>
      </c>
      <c r="E523" s="1" t="n">
        <v>46225</v>
      </c>
      <c r="F523" t="inlineStr">
        <is>
          <t>KRONOBERGS LÄN</t>
        </is>
      </c>
      <c r="G523" t="inlineStr">
        <is>
          <t>LJUNGBY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16580-2026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46225</v>
      </c>
      <c r="F524" t="inlineStr">
        <is>
          <t>KRONOBERGS LÄN</t>
        </is>
      </c>
      <c r="G524" t="inlineStr">
        <is>
          <t>LJUNGBY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52760-2025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46225</v>
      </c>
      <c r="F525" t="inlineStr">
        <is>
          <t>KRONOBERGS LÄN</t>
        </is>
      </c>
      <c r="G525" t="inlineStr">
        <is>
          <t>LJUNGBY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45957</v>
      </c>
      <c r="E526" s="1" t="n">
        <v>46225</v>
      </c>
      <c r="F526" t="inlineStr">
        <is>
          <t>KRONOBERGS LÄN</t>
        </is>
      </c>
      <c r="G526" t="inlineStr">
        <is>
          <t>LJUNGBY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61634-2024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45646</v>
      </c>
      <c r="E527" s="1" t="n">
        <v>46225</v>
      </c>
      <c r="F527" t="inlineStr">
        <is>
          <t>KRONOBERGS LÄN</t>
        </is>
      </c>
      <c r="G527" t="inlineStr">
        <is>
          <t>LJUNGBY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45888</v>
      </c>
      <c r="E528" s="1" t="n">
        <v>46225</v>
      </c>
      <c r="F528" t="inlineStr">
        <is>
          <t>KRONOBERGS LÄN</t>
        </is>
      </c>
      <c r="G528" t="inlineStr">
        <is>
          <t>LJUNGBY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16947-2026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46113</v>
      </c>
      <c r="E529" s="1" t="n">
        <v>46225</v>
      </c>
      <c r="F529" t="inlineStr">
        <is>
          <t>KRONOBERGS LÄN</t>
        </is>
      </c>
      <c r="G529" t="inlineStr">
        <is>
          <t>LJUNGBY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46225</v>
      </c>
      <c r="F530" t="inlineStr">
        <is>
          <t>KRONOBERGS LÄN</t>
        </is>
      </c>
      <c r="G530" t="inlineStr">
        <is>
          <t>LJUNGBY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46119</v>
      </c>
      <c r="E531" s="1" t="n">
        <v>46225</v>
      </c>
      <c r="F531" t="inlineStr">
        <is>
          <t>KRONOBERGS LÄN</t>
        </is>
      </c>
      <c r="G531" t="inlineStr">
        <is>
          <t>LJUNGBY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46225</v>
      </c>
      <c r="F532" t="inlineStr">
        <is>
          <t>KRONOBERGS LÄN</t>
        </is>
      </c>
      <c r="G532" t="inlineStr">
        <is>
          <t>LJUNGBY</t>
        </is>
      </c>
      <c r="H532" t="inlineStr">
        <is>
          <t>Sveaskog</t>
        </is>
      </c>
      <c r="I532" t="n">
        <v>14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17255-2026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46225</v>
      </c>
      <c r="F533" t="inlineStr">
        <is>
          <t>KRONOBERGS LÄN</t>
        </is>
      </c>
      <c r="G533" t="inlineStr">
        <is>
          <t>LJUNGBY</t>
        </is>
      </c>
      <c r="H533" t="inlineStr">
        <is>
          <t>Sveaskog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17246-2026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46119</v>
      </c>
      <c r="E534" s="1" t="n">
        <v>46225</v>
      </c>
      <c r="F534" t="inlineStr">
        <is>
          <t>KRONOBERGS LÄN</t>
        </is>
      </c>
      <c r="G534" t="inlineStr">
        <is>
          <t>LJUNGBY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52768-2025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45957</v>
      </c>
      <c r="E535" s="1" t="n">
        <v>46225</v>
      </c>
      <c r="F535" t="inlineStr">
        <is>
          <t>KRONOBERGS LÄN</t>
        </is>
      </c>
      <c r="G535" t="inlineStr">
        <is>
          <t>LJUNGBY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46225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53446-2025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45959</v>
      </c>
      <c r="E537" s="1" t="n">
        <v>46225</v>
      </c>
      <c r="F537" t="inlineStr">
        <is>
          <t>KRONOBERGS LÄN</t>
        </is>
      </c>
      <c r="G537" t="inlineStr">
        <is>
          <t>LJUNGBY</t>
        </is>
      </c>
      <c r="H537" t="inlineStr">
        <is>
          <t>Övriga Aktiebolag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45961</v>
      </c>
      <c r="E538" s="1" t="n">
        <v>46225</v>
      </c>
      <c r="F538" t="inlineStr">
        <is>
          <t>KRONOBERGS LÄN</t>
        </is>
      </c>
      <c r="G538" t="inlineStr">
        <is>
          <t>LJUNGBY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54259-2025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45964</v>
      </c>
      <c r="E539" s="1" t="n">
        <v>46225</v>
      </c>
      <c r="F539" t="inlineStr">
        <is>
          <t>KRONOBERGS LÄN</t>
        </is>
      </c>
      <c r="G539" t="inlineStr">
        <is>
          <t>LJUNGBY</t>
        </is>
      </c>
      <c r="H539" t="inlineStr">
        <is>
          <t>Kommuner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54214-2025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45964</v>
      </c>
      <c r="E540" s="1" t="n">
        <v>46225</v>
      </c>
      <c r="F540" t="inlineStr">
        <is>
          <t>KRONOBERGS LÄN</t>
        </is>
      </c>
      <c r="G540" t="inlineStr">
        <is>
          <t>LJUNGBY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54003-2025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46225</v>
      </c>
      <c r="F541" t="inlineStr">
        <is>
          <t>KRONOBERGS LÄN</t>
        </is>
      </c>
      <c r="G541" t="inlineStr">
        <is>
          <t>LJUNGBY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46225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50186-2023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45215</v>
      </c>
      <c r="E543" s="1" t="n">
        <v>46225</v>
      </c>
      <c r="F543" t="inlineStr">
        <is>
          <t>KRONOBERGS LÄN</t>
        </is>
      </c>
      <c r="G543" t="inlineStr">
        <is>
          <t>LJUNGBY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46225</v>
      </c>
      <c r="F544" t="inlineStr">
        <is>
          <t>KRONOBERGS LÄN</t>
        </is>
      </c>
      <c r="G544" t="inlineStr">
        <is>
          <t>LJUNGBY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46225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46225</v>
      </c>
      <c r="F546" t="inlineStr">
        <is>
          <t>KRONOBERGS LÄN</t>
        </is>
      </c>
      <c r="G546" t="inlineStr">
        <is>
          <t>LJUNGBY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45973</v>
      </c>
      <c r="E547" s="1" t="n">
        <v>46225</v>
      </c>
      <c r="F547" t="inlineStr">
        <is>
          <t>KRONOBERGS LÄN</t>
        </is>
      </c>
      <c r="G547" t="inlineStr">
        <is>
          <t>LJUNGBY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50568-2023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45217</v>
      </c>
      <c r="E548" s="1" t="n">
        <v>46225</v>
      </c>
      <c r="F548" t="inlineStr">
        <is>
          <t>KRONOBERGS LÄN</t>
        </is>
      </c>
      <c r="G548" t="inlineStr">
        <is>
          <t>LJUNGBY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34405-2024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46225</v>
      </c>
      <c r="F549" t="inlineStr">
        <is>
          <t>KRONOBERGS LÄN</t>
        </is>
      </c>
      <c r="G549" t="inlineStr">
        <is>
          <t>LJUNGBY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42270-2024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45562</v>
      </c>
      <c r="E550" s="1" t="n">
        <v>46225</v>
      </c>
      <c r="F550" t="inlineStr">
        <is>
          <t>KRONOBERGS LÄN</t>
        </is>
      </c>
      <c r="G550" t="inlineStr">
        <is>
          <t>LJUNGBY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55926-2022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44886</v>
      </c>
      <c r="E551" s="1" t="n">
        <v>46225</v>
      </c>
      <c r="F551" t="inlineStr">
        <is>
          <t>KRONOBERGS LÄN</t>
        </is>
      </c>
      <c r="G551" t="inlineStr">
        <is>
          <t>LJUNGBY</t>
        </is>
      </c>
      <c r="H551" t="inlineStr">
        <is>
          <t>Kyrkan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45977</v>
      </c>
      <c r="E552" s="1" t="n">
        <v>46225</v>
      </c>
      <c r="F552" t="inlineStr">
        <is>
          <t>KRONOBERGS LÄN</t>
        </is>
      </c>
      <c r="G552" t="inlineStr">
        <is>
          <t>LJUNGBY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56918-2025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46225</v>
      </c>
      <c r="F553" t="inlineStr">
        <is>
          <t>KRONOBERGS LÄN</t>
        </is>
      </c>
      <c r="G553" t="inlineStr">
        <is>
          <t>LJUNGBY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34101-2025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45845</v>
      </c>
      <c r="E554" s="1" t="n">
        <v>46225</v>
      </c>
      <c r="F554" t="inlineStr">
        <is>
          <t>KRONOBERGS LÄN</t>
        </is>
      </c>
      <c r="G554" t="inlineStr">
        <is>
          <t>LJUNGBY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56758-2025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45978</v>
      </c>
      <c r="E555" s="1" t="n">
        <v>46225</v>
      </c>
      <c r="F555" t="inlineStr">
        <is>
          <t>KRONOBERGS LÄN</t>
        </is>
      </c>
      <c r="G555" t="inlineStr">
        <is>
          <t>LJUNGBY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22012-2025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45784</v>
      </c>
      <c r="E556" s="1" t="n">
        <v>46225</v>
      </c>
      <c r="F556" t="inlineStr">
        <is>
          <t>KRONOBERGS LÄN</t>
        </is>
      </c>
      <c r="G556" t="inlineStr">
        <is>
          <t>LJUNGBY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45350</v>
      </c>
      <c r="E557" s="1" t="n">
        <v>46225</v>
      </c>
      <c r="F557" t="inlineStr">
        <is>
          <t>KRONOBERGS LÄN</t>
        </is>
      </c>
      <c r="G557" t="inlineStr">
        <is>
          <t>LJUNGBY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12787-2025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45733</v>
      </c>
      <c r="E558" s="1" t="n">
        <v>46225</v>
      </c>
      <c r="F558" t="inlineStr">
        <is>
          <t>KRONOBERGS LÄN</t>
        </is>
      </c>
      <c r="G558" t="inlineStr">
        <is>
          <t>LJUNGBY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8020-2024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45350</v>
      </c>
      <c r="E559" s="1" t="n">
        <v>46225</v>
      </c>
      <c r="F559" t="inlineStr">
        <is>
          <t>KRONOBERGS LÄN</t>
        </is>
      </c>
      <c r="G559" t="inlineStr">
        <is>
          <t>LJUNGBY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57431-2025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45980</v>
      </c>
      <c r="E560" s="1" t="n">
        <v>46225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45831</v>
      </c>
      <c r="E561" s="1" t="n">
        <v>46225</v>
      </c>
      <c r="F561" t="inlineStr">
        <is>
          <t>KRONOBERGS LÄN</t>
        </is>
      </c>
      <c r="G561" t="inlineStr">
        <is>
          <t>LJUNGBY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45903</v>
      </c>
      <c r="E562" s="1" t="n">
        <v>46225</v>
      </c>
      <c r="F562" t="inlineStr">
        <is>
          <t>KRONOBERGS LÄN</t>
        </is>
      </c>
      <c r="G562" t="inlineStr">
        <is>
          <t>LJUNGBY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46225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57632-2025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45981</v>
      </c>
      <c r="E564" s="1" t="n">
        <v>46225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45838</v>
      </c>
      <c r="E565" s="1" t="n">
        <v>46225</v>
      </c>
      <c r="F565" t="inlineStr">
        <is>
          <t>KRONOBERGS LÄN</t>
        </is>
      </c>
      <c r="G565" t="inlineStr">
        <is>
          <t>LJUNGBY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29336-2024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45483</v>
      </c>
      <c r="E566" s="1" t="n">
        <v>46225</v>
      </c>
      <c r="F566" t="inlineStr">
        <is>
          <t>KRONOBERGS LÄN</t>
        </is>
      </c>
      <c r="G566" t="inlineStr">
        <is>
          <t>LJUNGBY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57633-2025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46225</v>
      </c>
      <c r="F567" t="inlineStr">
        <is>
          <t>KRONOBERGS LÄN</t>
        </is>
      </c>
      <c r="G567" t="inlineStr">
        <is>
          <t>LJUNGBY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11552-2025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45727</v>
      </c>
      <c r="E568" s="1" t="n">
        <v>46225</v>
      </c>
      <c r="F568" t="inlineStr">
        <is>
          <t>KRONOBERGS LÄN</t>
        </is>
      </c>
      <c r="G568" t="inlineStr">
        <is>
          <t>LJUNGBY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58319-2025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45985</v>
      </c>
      <c r="E569" s="1" t="n">
        <v>46225</v>
      </c>
      <c r="F569" t="inlineStr">
        <is>
          <t>KRONOBERGS LÄN</t>
        </is>
      </c>
      <c r="G569" t="inlineStr">
        <is>
          <t>LJUNGBY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58331-2025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45985</v>
      </c>
      <c r="E570" s="1" t="n">
        <v>46225</v>
      </c>
      <c r="F570" t="inlineStr">
        <is>
          <t>KRONOBERGS LÄN</t>
        </is>
      </c>
      <c r="G570" t="inlineStr">
        <is>
          <t>LJUNGBY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37374-2022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44809</v>
      </c>
      <c r="E571" s="1" t="n">
        <v>46225</v>
      </c>
      <c r="F571" t="inlineStr">
        <is>
          <t>KRONOBERGS LÄN</t>
        </is>
      </c>
      <c r="G571" t="inlineStr">
        <is>
          <t>LJUNGBY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37661-2025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45880</v>
      </c>
      <c r="E572" s="1" t="n">
        <v>46225</v>
      </c>
      <c r="F572" t="inlineStr">
        <is>
          <t>KRONOBERGS LÄN</t>
        </is>
      </c>
      <c r="G572" t="inlineStr">
        <is>
          <t>LJUNGBY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44942</v>
      </c>
      <c r="E573" s="1" t="n">
        <v>46225</v>
      </c>
      <c r="F573" t="inlineStr">
        <is>
          <t>KRONOBERGS LÄN</t>
        </is>
      </c>
      <c r="G573" t="inlineStr">
        <is>
          <t>LJUNGBY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45679</v>
      </c>
      <c r="E574" s="1" t="n">
        <v>46225</v>
      </c>
      <c r="F574" t="inlineStr">
        <is>
          <t>KRONOBERGS LÄN</t>
        </is>
      </c>
      <c r="G574" t="inlineStr">
        <is>
          <t>LJUNGBY</t>
        </is>
      </c>
      <c r="I574" t="n">
        <v>7.3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46057</v>
      </c>
      <c r="E575" s="1" t="n">
        <v>46225</v>
      </c>
      <c r="F575" t="inlineStr">
        <is>
          <t>KRONOBERGS LÄN</t>
        </is>
      </c>
      <c r="G575" t="inlineStr">
        <is>
          <t>LJUNGBY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18931-2025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46225</v>
      </c>
      <c r="F576" t="inlineStr">
        <is>
          <t>KRONOBERGS LÄN</t>
        </is>
      </c>
      <c r="G576" t="inlineStr">
        <is>
          <t>LJUNGBY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44269-2025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45916</v>
      </c>
      <c r="E577" s="1" t="n">
        <v>46225</v>
      </c>
      <c r="F577" t="inlineStr">
        <is>
          <t>KRONOBERGS LÄN</t>
        </is>
      </c>
      <c r="G577" t="inlineStr">
        <is>
          <t>LJUNGBY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59170-2025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45988</v>
      </c>
      <c r="E578" s="1" t="n">
        <v>46225</v>
      </c>
      <c r="F578" t="inlineStr">
        <is>
          <t>KRONOBERGS LÄN</t>
        </is>
      </c>
      <c r="G578" t="inlineStr">
        <is>
          <t>LJUNGBY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14718-2025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45742</v>
      </c>
      <c r="E579" s="1" t="n">
        <v>46225</v>
      </c>
      <c r="F579" t="inlineStr">
        <is>
          <t>KRONOBERGS LÄN</t>
        </is>
      </c>
      <c r="G579" t="inlineStr">
        <is>
          <t>LJUNGBY</t>
        </is>
      </c>
      <c r="I579" t="n">
        <v>11.4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20575-2026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46140</v>
      </c>
      <c r="E580" s="1" t="n">
        <v>46225</v>
      </c>
      <c r="F580" t="inlineStr">
        <is>
          <t>KRONOBERGS LÄN</t>
        </is>
      </c>
      <c r="G580" t="inlineStr">
        <is>
          <t>LJUNGBY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45989</v>
      </c>
      <c r="E581" s="1" t="n">
        <v>46225</v>
      </c>
      <c r="F581" t="inlineStr">
        <is>
          <t>KRONOBERGS LÄN</t>
        </is>
      </c>
      <c r="G581" t="inlineStr">
        <is>
          <t>LJUNGBY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33122-2023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45126</v>
      </c>
      <c r="E582" s="1" t="n">
        <v>46225</v>
      </c>
      <c r="F582" t="inlineStr">
        <is>
          <t>KRONOBERGS LÄN</t>
        </is>
      </c>
      <c r="G582" t="inlineStr">
        <is>
          <t>LJUNGBY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59813-2025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45992</v>
      </c>
      <c r="E583" s="1" t="n">
        <v>46225</v>
      </c>
      <c r="F583" t="inlineStr">
        <is>
          <t>KRONOBERGS LÄN</t>
        </is>
      </c>
      <c r="G583" t="inlineStr">
        <is>
          <t>LJUNGBY</t>
        </is>
      </c>
      <c r="I583" t="n">
        <v>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49744-2023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45212</v>
      </c>
      <c r="E584" s="1" t="n">
        <v>46225</v>
      </c>
      <c r="F584" t="inlineStr">
        <is>
          <t>KRONOBERGS LÄN</t>
        </is>
      </c>
      <c r="G584" t="inlineStr">
        <is>
          <t>LJUNGBY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46225</v>
      </c>
      <c r="F585" t="inlineStr">
        <is>
          <t>KRONOBERGS LÄN</t>
        </is>
      </c>
      <c r="G585" t="inlineStr">
        <is>
          <t>LJUNGBY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59604-2025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46225</v>
      </c>
      <c r="F586" t="inlineStr">
        <is>
          <t>KRONOBERGS LÄN</t>
        </is>
      </c>
      <c r="G586" t="inlineStr">
        <is>
          <t>LJUNGBY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46140</v>
      </c>
      <c r="E587" s="1" t="n">
        <v>46225</v>
      </c>
      <c r="F587" t="inlineStr">
        <is>
          <t>KRONOBERGS LÄN</t>
        </is>
      </c>
      <c r="G587" t="inlineStr">
        <is>
          <t>LJUNGBY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42680-2025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45908</v>
      </c>
      <c r="E588" s="1" t="n">
        <v>46225</v>
      </c>
      <c r="F588" t="inlineStr">
        <is>
          <t>KRONOBERGS LÄN</t>
        </is>
      </c>
      <c r="G588" t="inlineStr">
        <is>
          <t>LJUNGBY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45679</v>
      </c>
      <c r="E589" s="1" t="n">
        <v>46225</v>
      </c>
      <c r="F589" t="inlineStr">
        <is>
          <t>KRONOBERGS LÄN</t>
        </is>
      </c>
      <c r="G589" t="inlineStr">
        <is>
          <t>LJUNGBY</t>
        </is>
      </c>
      <c r="I589" t="n">
        <v>20.8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45811</v>
      </c>
      <c r="E590" s="1" t="n">
        <v>46225</v>
      </c>
      <c r="F590" t="inlineStr">
        <is>
          <t>KRONOBERGS LÄN</t>
        </is>
      </c>
      <c r="G590" t="inlineStr">
        <is>
          <t>LJUNGBY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60305-2025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45994</v>
      </c>
      <c r="E591" s="1" t="n">
        <v>46225</v>
      </c>
      <c r="F591" t="inlineStr">
        <is>
          <t>KRONOBERGS LÄN</t>
        </is>
      </c>
      <c r="G591" t="inlineStr">
        <is>
          <t>LJUNGBY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27810-2024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45475</v>
      </c>
      <c r="E592" s="1" t="n">
        <v>46225</v>
      </c>
      <c r="F592" t="inlineStr">
        <is>
          <t>KRONOBERGS LÄN</t>
        </is>
      </c>
      <c r="G592" t="inlineStr">
        <is>
          <t>LJUNGBY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60480-2025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45995</v>
      </c>
      <c r="E593" s="1" t="n">
        <v>46225</v>
      </c>
      <c r="F593" t="inlineStr">
        <is>
          <t>KRONOBERGS LÄN</t>
        </is>
      </c>
      <c r="G593" t="inlineStr">
        <is>
          <t>LJUNGBY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60068-2025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45993</v>
      </c>
      <c r="E594" s="1" t="n">
        <v>46225</v>
      </c>
      <c r="F594" t="inlineStr">
        <is>
          <t>KRONOBERGS LÄN</t>
        </is>
      </c>
      <c r="G594" t="inlineStr">
        <is>
          <t>LJUNGBY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45372</v>
      </c>
      <c r="E595" s="1" t="n">
        <v>46225</v>
      </c>
      <c r="F595" t="inlineStr">
        <is>
          <t>KRONOBERGS LÄN</t>
        </is>
      </c>
      <c r="G595" t="inlineStr">
        <is>
          <t>LJUNGBY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13480-2023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45005</v>
      </c>
      <c r="E596" s="1" t="n">
        <v>46225</v>
      </c>
      <c r="F596" t="inlineStr">
        <is>
          <t>KRONOBERGS LÄN</t>
        </is>
      </c>
      <c r="G596" t="inlineStr">
        <is>
          <t>LJUNGBY</t>
        </is>
      </c>
      <c r="I596" t="n">
        <v>10.3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16241-2022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44670</v>
      </c>
      <c r="E597" s="1" t="n">
        <v>46225</v>
      </c>
      <c r="F597" t="inlineStr">
        <is>
          <t>KRONOBERGS LÄN</t>
        </is>
      </c>
      <c r="G597" t="inlineStr">
        <is>
          <t>LJUNGBY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20388-2026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46139</v>
      </c>
      <c r="E598" s="1" t="n">
        <v>46225</v>
      </c>
      <c r="F598" t="inlineStr">
        <is>
          <t>KRONOBERGS LÄN</t>
        </is>
      </c>
      <c r="G598" t="inlineStr">
        <is>
          <t>LJUNGBY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57737-2023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45246</v>
      </c>
      <c r="E599" s="1" t="n">
        <v>46225</v>
      </c>
      <c r="F599" t="inlineStr">
        <is>
          <t>KRONOBERGS LÄN</t>
        </is>
      </c>
      <c r="G599" t="inlineStr">
        <is>
          <t>LJUNGBY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20335-2026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46139</v>
      </c>
      <c r="E600" s="1" t="n">
        <v>46225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30132-2023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45110</v>
      </c>
      <c r="E601" s="1" t="n">
        <v>46225</v>
      </c>
      <c r="F601" t="inlineStr">
        <is>
          <t>KRONOBERGS LÄN</t>
        </is>
      </c>
      <c r="G601" t="inlineStr">
        <is>
          <t>LJUNGBY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45798</v>
      </c>
      <c r="E602" s="1" t="n">
        <v>46225</v>
      </c>
      <c r="F602" t="inlineStr">
        <is>
          <t>KRONOBERGS LÄN</t>
        </is>
      </c>
      <c r="G602" t="inlineStr">
        <is>
          <t>LJUNGBY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42931-2024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45567</v>
      </c>
      <c r="E603" s="1" t="n">
        <v>46225</v>
      </c>
      <c r="F603" t="inlineStr">
        <is>
          <t>KRONOBERGS LÄN</t>
        </is>
      </c>
      <c r="G603" t="inlineStr">
        <is>
          <t>LJUNGBY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46225</v>
      </c>
      <c r="F604" t="inlineStr">
        <is>
          <t>KRONOBERGS LÄN</t>
        </is>
      </c>
      <c r="G604" t="inlineStr">
        <is>
          <t>LJUNGBY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14796-2025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45742</v>
      </c>
      <c r="E605" s="1" t="n">
        <v>46225</v>
      </c>
      <c r="F605" t="inlineStr">
        <is>
          <t>KRONOBERGS LÄN</t>
        </is>
      </c>
      <c r="G605" t="inlineStr">
        <is>
          <t>LJUNGBY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39754-2023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45167</v>
      </c>
      <c r="E606" s="1" t="n">
        <v>46225</v>
      </c>
      <c r="F606" t="inlineStr">
        <is>
          <t>KRONOBERGS LÄN</t>
        </is>
      </c>
      <c r="G606" t="inlineStr">
        <is>
          <t>LJUNGBY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62206-2025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46006</v>
      </c>
      <c r="E607" s="1" t="n">
        <v>46225</v>
      </c>
      <c r="F607" t="inlineStr">
        <is>
          <t>KRONOBERGS LÄN</t>
        </is>
      </c>
      <c r="G607" t="inlineStr">
        <is>
          <t>LJUNGBY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53345-2024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45614</v>
      </c>
      <c r="E608" s="1" t="n">
        <v>46225</v>
      </c>
      <c r="F608" t="inlineStr">
        <is>
          <t>KRONOBERGS LÄN</t>
        </is>
      </c>
      <c r="G608" t="inlineStr">
        <is>
          <t>LJUNGBY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62249-2025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46225</v>
      </c>
      <c r="F609" t="inlineStr">
        <is>
          <t>KRONOBERGS LÄN</t>
        </is>
      </c>
      <c r="G609" t="inlineStr">
        <is>
          <t>LJUNGBY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46225</v>
      </c>
      <c r="F610" t="inlineStr">
        <is>
          <t>KRONOBERGS LÄN</t>
        </is>
      </c>
      <c r="G610" t="inlineStr">
        <is>
          <t>LJUNGBY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62253-2025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46225</v>
      </c>
      <c r="F611" t="inlineStr">
        <is>
          <t>KRONOBERGS LÄN</t>
        </is>
      </c>
      <c r="G611" t="inlineStr">
        <is>
          <t>LJUNGBY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62670-2025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46008</v>
      </c>
      <c r="E612" s="1" t="n">
        <v>46225</v>
      </c>
      <c r="F612" t="inlineStr">
        <is>
          <t>KRONOBERGS LÄN</t>
        </is>
      </c>
      <c r="G612" t="inlineStr">
        <is>
          <t>LJUNGBY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62672-2025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46008</v>
      </c>
      <c r="E613" s="1" t="n">
        <v>46225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20576-2026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46225</v>
      </c>
      <c r="F614" t="inlineStr">
        <is>
          <t>KRONOBERGS LÄN</t>
        </is>
      </c>
      <c r="G614" t="inlineStr">
        <is>
          <t>LJUNGBY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45476</v>
      </c>
      <c r="E615" s="1" t="n">
        <v>46225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60560-2024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45644</v>
      </c>
      <c r="E616" s="1" t="n">
        <v>46225</v>
      </c>
      <c r="F616" t="inlineStr">
        <is>
          <t>KRONOBERGS LÄN</t>
        </is>
      </c>
      <c r="G616" t="inlineStr">
        <is>
          <t>LJUNGBY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62552-2025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46007</v>
      </c>
      <c r="E617" s="1" t="n">
        <v>46225</v>
      </c>
      <c r="F617" t="inlineStr">
        <is>
          <t>KRONOBERGS LÄN</t>
        </is>
      </c>
      <c r="G617" t="inlineStr">
        <is>
          <t>LJUNGBY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46225</v>
      </c>
      <c r="F618" t="inlineStr">
        <is>
          <t>KRONOBERGS LÄN</t>
        </is>
      </c>
      <c r="G618" t="inlineStr">
        <is>
          <t>LJUNGBY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62266-2025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46006</v>
      </c>
      <c r="E619" s="1" t="n">
        <v>46225</v>
      </c>
      <c r="F619" t="inlineStr">
        <is>
          <t>KRONOBERGS LÄN</t>
        </is>
      </c>
      <c r="G619" t="inlineStr">
        <is>
          <t>LJUNGBY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62948-2025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46009</v>
      </c>
      <c r="E620" s="1" t="n">
        <v>46225</v>
      </c>
      <c r="F620" t="inlineStr">
        <is>
          <t>KRONOBERGS LÄN</t>
        </is>
      </c>
      <c r="G620" t="inlineStr">
        <is>
          <t>LJUNGBY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37374-2022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44809</v>
      </c>
      <c r="E621" s="1" t="n">
        <v>46225</v>
      </c>
      <c r="F621" t="inlineStr">
        <is>
          <t>KRONOBERGS LÄN</t>
        </is>
      </c>
      <c r="G621" t="inlineStr">
        <is>
          <t>LJUNGBY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62668-2025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46008</v>
      </c>
      <c r="E622" s="1" t="n">
        <v>46225</v>
      </c>
      <c r="F622" t="inlineStr">
        <is>
          <t>KRONOBERGS LÄN</t>
        </is>
      </c>
      <c r="G622" t="inlineStr">
        <is>
          <t>LJUNGBY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63656-2025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46014</v>
      </c>
      <c r="E623" s="1" t="n">
        <v>46225</v>
      </c>
      <c r="F623" t="inlineStr">
        <is>
          <t>KRONOBERGS LÄN</t>
        </is>
      </c>
      <c r="G623" t="inlineStr">
        <is>
          <t>LJUNGBY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22610-2023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45071</v>
      </c>
      <c r="E624" s="1" t="n">
        <v>46225</v>
      </c>
      <c r="F624" t="inlineStr">
        <is>
          <t>KRONOBERGS LÄN</t>
        </is>
      </c>
      <c r="G624" t="inlineStr">
        <is>
          <t>LJUNGBY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22613-2023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45071</v>
      </c>
      <c r="E625" s="1" t="n">
        <v>46225</v>
      </c>
      <c r="F625" t="inlineStr">
        <is>
          <t>KRONOBERGS LÄN</t>
        </is>
      </c>
      <c r="G625" t="inlineStr">
        <is>
          <t>LJUNGBY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1384-2022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44573</v>
      </c>
      <c r="E626" s="1" t="n">
        <v>46225</v>
      </c>
      <c r="F626" t="inlineStr">
        <is>
          <t>KRONOBERGS LÄN</t>
        </is>
      </c>
      <c r="G626" t="inlineStr">
        <is>
          <t>LJUNGBY</t>
        </is>
      </c>
      <c r="H626" t="inlineStr">
        <is>
          <t>Kommuner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46225</v>
      </c>
      <c r="F627" t="inlineStr">
        <is>
          <t>KRONOBERGS LÄN</t>
        </is>
      </c>
      <c r="G627" t="inlineStr">
        <is>
          <t>LJUNGBY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63878-2025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46020</v>
      </c>
      <c r="E628" s="1" t="n">
        <v>46225</v>
      </c>
      <c r="F628" t="inlineStr">
        <is>
          <t>KRONOBERGS LÄN</t>
        </is>
      </c>
      <c r="G628" t="inlineStr">
        <is>
          <t>LJUNGBY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46225</v>
      </c>
      <c r="F629" t="inlineStr">
        <is>
          <t>KRONOBERGS LÄN</t>
        </is>
      </c>
      <c r="G629" t="inlineStr">
        <is>
          <t>LJUNGBY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7405-2026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46059</v>
      </c>
      <c r="E630" s="1" t="n">
        <v>46225</v>
      </c>
      <c r="F630" t="inlineStr">
        <is>
          <t>KRONOBERGS LÄN</t>
        </is>
      </c>
      <c r="G630" t="inlineStr">
        <is>
          <t>LJUNGBY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46024</v>
      </c>
      <c r="E631" s="1" t="n">
        <v>46225</v>
      </c>
      <c r="F631" t="inlineStr">
        <is>
          <t>KRONOBERGS LÄN</t>
        </is>
      </c>
      <c r="G631" t="inlineStr">
        <is>
          <t>LJUNGBY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12676-2025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45733</v>
      </c>
      <c r="E632" s="1" t="n">
        <v>46225</v>
      </c>
      <c r="F632" t="inlineStr">
        <is>
          <t>KRONOBERGS LÄN</t>
        </is>
      </c>
      <c r="G632" t="inlineStr">
        <is>
          <t>LJUNGBY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21484-2024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45441</v>
      </c>
      <c r="E633" s="1" t="n">
        <v>46225</v>
      </c>
      <c r="F633" t="inlineStr">
        <is>
          <t>KRONOBERGS LÄN</t>
        </is>
      </c>
      <c r="G633" t="inlineStr">
        <is>
          <t>LJUNGBY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33926-2025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45842</v>
      </c>
      <c r="E634" s="1" t="n">
        <v>46225</v>
      </c>
      <c r="F634" t="inlineStr">
        <is>
          <t>KRONOBERGS LÄN</t>
        </is>
      </c>
      <c r="G634" t="inlineStr">
        <is>
          <t>LJUNGBY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7597-2025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45705</v>
      </c>
      <c r="E635" s="1" t="n">
        <v>46225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26723-2026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46184</v>
      </c>
      <c r="E636" s="1" t="n">
        <v>46225</v>
      </c>
      <c r="F636" t="inlineStr">
        <is>
          <t>KRONOBERGS LÄN</t>
        </is>
      </c>
      <c r="G636" t="inlineStr">
        <is>
          <t>LJUNGBY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48147-2023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45205</v>
      </c>
      <c r="E637" s="1" t="n">
        <v>46225</v>
      </c>
      <c r="F637" t="inlineStr">
        <is>
          <t>KRONOBERGS LÄN</t>
        </is>
      </c>
      <c r="G637" t="inlineStr">
        <is>
          <t>LJUNGBY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48243-2023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45205</v>
      </c>
      <c r="E638" s="1" t="n">
        <v>46225</v>
      </c>
      <c r="F638" t="inlineStr">
        <is>
          <t>KRONOBERGS LÄN</t>
        </is>
      </c>
      <c r="G638" t="inlineStr">
        <is>
          <t>LJUNGBY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21108-2026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46146</v>
      </c>
      <c r="E639" s="1" t="n">
        <v>46225</v>
      </c>
      <c r="F639" t="inlineStr">
        <is>
          <t>KRONOBERGS LÄN</t>
        </is>
      </c>
      <c r="G639" t="inlineStr">
        <is>
          <t>LJUNGBY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44945</v>
      </c>
      <c r="E640" s="1" t="n">
        <v>46225</v>
      </c>
      <c r="F640" t="inlineStr">
        <is>
          <t>KRONOBERGS LÄN</t>
        </is>
      </c>
      <c r="G640" t="inlineStr">
        <is>
          <t>LJUNGBY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56387-2023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45243</v>
      </c>
      <c r="E641" s="1" t="n">
        <v>46225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27006-2022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44740</v>
      </c>
      <c r="E642" s="1" t="n">
        <v>46225</v>
      </c>
      <c r="F642" t="inlineStr">
        <is>
          <t>KRONOBERGS LÄN</t>
        </is>
      </c>
      <c r="G642" t="inlineStr">
        <is>
          <t>LJUNGBY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62978-2023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45272</v>
      </c>
      <c r="E643" s="1" t="n">
        <v>46225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52843-2023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45226</v>
      </c>
      <c r="E644" s="1" t="n">
        <v>46225</v>
      </c>
      <c r="F644" t="inlineStr">
        <is>
          <t>KRONOBERGS LÄN</t>
        </is>
      </c>
      <c r="G644" t="inlineStr">
        <is>
          <t>LJUNGBY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44946</v>
      </c>
      <c r="E645" s="1" t="n">
        <v>46225</v>
      </c>
      <c r="F645" t="inlineStr">
        <is>
          <t>KRONOBERGS LÄN</t>
        </is>
      </c>
      <c r="G645" t="inlineStr">
        <is>
          <t>LJUNGBY</t>
        </is>
      </c>
      <c r="H645" t="inlineStr">
        <is>
          <t>Kommuner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24787-2023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45084</v>
      </c>
      <c r="E646" s="1" t="n">
        <v>46225</v>
      </c>
      <c r="F646" t="inlineStr">
        <is>
          <t>KRONOBERGS LÄN</t>
        </is>
      </c>
      <c r="G646" t="inlineStr">
        <is>
          <t>LJUNGBY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11781-2022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44634</v>
      </c>
      <c r="E647" s="1" t="n">
        <v>46225</v>
      </c>
      <c r="F647" t="inlineStr">
        <is>
          <t>KRONOBERGS LÄN</t>
        </is>
      </c>
      <c r="G647" t="inlineStr">
        <is>
          <t>LJUNGBY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5392-2023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44959</v>
      </c>
      <c r="E648" s="1" t="n">
        <v>46225</v>
      </c>
      <c r="F648" t="inlineStr">
        <is>
          <t>KRONOBERGS LÄN</t>
        </is>
      </c>
      <c r="G648" t="inlineStr">
        <is>
          <t>LJUNGBY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62364-2022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44923</v>
      </c>
      <c r="E649" s="1" t="n">
        <v>46225</v>
      </c>
      <c r="F649" t="inlineStr">
        <is>
          <t>KRONOBERGS LÄN</t>
        </is>
      </c>
      <c r="G649" t="inlineStr">
        <is>
          <t>LJUNGBY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62366-2022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44923</v>
      </c>
      <c r="E650" s="1" t="n">
        <v>46225</v>
      </c>
      <c r="F650" t="inlineStr">
        <is>
          <t>KRONOBERGS LÄN</t>
        </is>
      </c>
      <c r="G650" t="inlineStr">
        <is>
          <t>LJUNGBY</t>
        </is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53411-2024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45614</v>
      </c>
      <c r="E651" s="1" t="n">
        <v>46225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21231-2026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46225</v>
      </c>
      <c r="F652" t="inlineStr">
        <is>
          <t>KRONOBERGS LÄN</t>
        </is>
      </c>
      <c r="G652" t="inlineStr">
        <is>
          <t>LJUNGBY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5403-2023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44959</v>
      </c>
      <c r="E653" s="1" t="n">
        <v>46225</v>
      </c>
      <c r="F653" t="inlineStr">
        <is>
          <t>KRONOBERGS LÄN</t>
        </is>
      </c>
      <c r="G653" t="inlineStr">
        <is>
          <t>LJUNGBY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1043-2024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45301</v>
      </c>
      <c r="E654" s="1" t="n">
        <v>46225</v>
      </c>
      <c r="F654" t="inlineStr">
        <is>
          <t>KRONOBERGS LÄN</t>
        </is>
      </c>
      <c r="G654" t="inlineStr">
        <is>
          <t>LJUNGBY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56780-2024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45628</v>
      </c>
      <c r="E655" s="1" t="n">
        <v>46225</v>
      </c>
      <c r="F655" t="inlineStr">
        <is>
          <t>KRONOBERGS LÄN</t>
        </is>
      </c>
      <c r="G655" t="inlineStr">
        <is>
          <t>LJUNGBY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21865-2026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46150</v>
      </c>
      <c r="E656" s="1" t="n">
        <v>46225</v>
      </c>
      <c r="F656" t="inlineStr">
        <is>
          <t>KRONOBERGS LÄN</t>
        </is>
      </c>
      <c r="G656" t="inlineStr">
        <is>
          <t>LJUNGBY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21870-2026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46225</v>
      </c>
      <c r="F657" t="inlineStr">
        <is>
          <t>KRONOBERGS LÄN</t>
        </is>
      </c>
      <c r="G657" t="inlineStr">
        <is>
          <t>LJUNGBY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55282-2024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45621</v>
      </c>
      <c r="E658" s="1" t="n">
        <v>46225</v>
      </c>
      <c r="F658" t="inlineStr">
        <is>
          <t>KRONOBERGS LÄN</t>
        </is>
      </c>
      <c r="G658" t="inlineStr">
        <is>
          <t>LJUNGBY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54882-2024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45618</v>
      </c>
      <c r="E659" s="1" t="n">
        <v>46225</v>
      </c>
      <c r="F659" t="inlineStr">
        <is>
          <t>KRONOBERGS LÄN</t>
        </is>
      </c>
      <c r="G659" t="inlineStr">
        <is>
          <t>LJUNGBY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52858-2024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45610</v>
      </c>
      <c r="E660" s="1" t="n">
        <v>46225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46191</v>
      </c>
      <c r="E661" s="1" t="n">
        <v>46225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11777-2022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44634</v>
      </c>
      <c r="E662" s="1" t="n">
        <v>46225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46225</v>
      </c>
      <c r="F663" t="inlineStr">
        <is>
          <t>KRONOBERGS LÄN</t>
        </is>
      </c>
      <c r="G663" t="inlineStr">
        <is>
          <t>LJUNGBY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46225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50803-2024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45602</v>
      </c>
      <c r="E665" s="1" t="n">
        <v>46225</v>
      </c>
      <c r="F665" t="inlineStr">
        <is>
          <t>KRONOBERGS LÄN</t>
        </is>
      </c>
      <c r="G665" t="inlineStr">
        <is>
          <t>LJUNGBY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28060-2026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46225</v>
      </c>
      <c r="F666" t="inlineStr">
        <is>
          <t>KRONOBERGS LÄN</t>
        </is>
      </c>
      <c r="G666" t="inlineStr">
        <is>
          <t>LJUNGBY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22210-2026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46153</v>
      </c>
      <c r="E667" s="1" t="n">
        <v>46225</v>
      </c>
      <c r="F667" t="inlineStr">
        <is>
          <t>KRONOBERGS LÄN</t>
        </is>
      </c>
      <c r="G667" t="inlineStr">
        <is>
          <t>LJUNGBY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4027-2024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45323</v>
      </c>
      <c r="E668" s="1" t="n">
        <v>46225</v>
      </c>
      <c r="F668" t="inlineStr">
        <is>
          <t>KRONOBERGS LÄN</t>
        </is>
      </c>
      <c r="G668" t="inlineStr">
        <is>
          <t>LJUNGBY</t>
        </is>
      </c>
      <c r="H668" t="inlineStr">
        <is>
          <t>Kommuner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36365-2023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45152</v>
      </c>
      <c r="E669" s="1" t="n">
        <v>46225</v>
      </c>
      <c r="F669" t="inlineStr">
        <is>
          <t>KRONOBERGS LÄN</t>
        </is>
      </c>
      <c r="G669" t="inlineStr">
        <is>
          <t>LJUNGBY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33499-2023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45131</v>
      </c>
      <c r="E670" s="1" t="n">
        <v>46225</v>
      </c>
      <c r="F670" t="inlineStr">
        <is>
          <t>KRONOBERGS LÄN</t>
        </is>
      </c>
      <c r="G670" t="inlineStr">
        <is>
          <t>LJUNGBY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61138-2024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45645</v>
      </c>
      <c r="E671" s="1" t="n">
        <v>46225</v>
      </c>
      <c r="F671" t="inlineStr">
        <is>
          <t>KRONOBERGS LÄN</t>
        </is>
      </c>
      <c r="G671" t="inlineStr">
        <is>
          <t>LJUNGBY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22432-2026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46154</v>
      </c>
      <c r="E672" s="1" t="n">
        <v>46225</v>
      </c>
      <c r="F672" t="inlineStr">
        <is>
          <t>KRONOBERGS LÄN</t>
        </is>
      </c>
      <c r="G672" t="inlineStr">
        <is>
          <t>LJUNGBY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28819-2026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46225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22666-2026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46155</v>
      </c>
      <c r="E674" s="1" t="n">
        <v>46225</v>
      </c>
      <c r="F674" t="inlineStr">
        <is>
          <t>KRONOBERGS LÄN</t>
        </is>
      </c>
      <c r="G674" t="inlineStr">
        <is>
          <t>LJUNGBY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31845-2024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45509</v>
      </c>
      <c r="E675" s="1" t="n">
        <v>46225</v>
      </c>
      <c r="F675" t="inlineStr">
        <is>
          <t>KRONOBERGS LÄN</t>
        </is>
      </c>
      <c r="G675" t="inlineStr">
        <is>
          <t>LJUNGBY</t>
        </is>
      </c>
      <c r="H675" t="inlineStr">
        <is>
          <t>Sveaskog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12405-2023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44999</v>
      </c>
      <c r="E676" s="1" t="n">
        <v>46225</v>
      </c>
      <c r="F676" t="inlineStr">
        <is>
          <t>KRONOBERGS LÄN</t>
        </is>
      </c>
      <c r="G676" t="inlineStr">
        <is>
          <t>LJUNGBY</t>
        </is>
      </c>
      <c r="I676" t="n">
        <v>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35903-2022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44802</v>
      </c>
      <c r="E677" s="1" t="n">
        <v>46225</v>
      </c>
      <c r="F677" t="inlineStr">
        <is>
          <t>KRONOBERGS LÄN</t>
        </is>
      </c>
      <c r="G677" t="inlineStr">
        <is>
          <t>LJUNGBY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61150-2024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45645</v>
      </c>
      <c r="E678" s="1" t="n">
        <v>46225</v>
      </c>
      <c r="F678" t="inlineStr">
        <is>
          <t>KRONOBERGS LÄN</t>
        </is>
      </c>
      <c r="G678" t="inlineStr">
        <is>
          <t>LJUNGBY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27843-2022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44743</v>
      </c>
      <c r="E679" s="1" t="n">
        <v>46225</v>
      </c>
      <c r="F679" t="inlineStr">
        <is>
          <t>KRONOBERGS LÄN</t>
        </is>
      </c>
      <c r="G679" t="inlineStr">
        <is>
          <t>LJUNGBY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34169-2025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45845</v>
      </c>
      <c r="E680" s="1" t="n">
        <v>46225</v>
      </c>
      <c r="F680" t="inlineStr">
        <is>
          <t>KRONOBERGS LÄN</t>
        </is>
      </c>
      <c r="G680" t="inlineStr">
        <is>
          <t>LJUNGBY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36985-2025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45874</v>
      </c>
      <c r="E681" s="1" t="n">
        <v>46225</v>
      </c>
      <c r="F681" t="inlineStr">
        <is>
          <t>KRONOBERGS LÄN</t>
        </is>
      </c>
      <c r="G681" t="inlineStr">
        <is>
          <t>LJUNGBY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22665-2026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46225</v>
      </c>
      <c r="F682" t="inlineStr">
        <is>
          <t>KRONOBERGS LÄN</t>
        </is>
      </c>
      <c r="G682" t="inlineStr">
        <is>
          <t>LJUNGBY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28825-2026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46225</v>
      </c>
      <c r="F683" t="inlineStr">
        <is>
          <t>KRONOBERGS LÄN</t>
        </is>
      </c>
      <c r="G683" t="inlineStr">
        <is>
          <t>LJUNGBY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22433-2026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46154</v>
      </c>
      <c r="E684" s="1" t="n">
        <v>46225</v>
      </c>
      <c r="F684" t="inlineStr">
        <is>
          <t>KRONOBERGS LÄN</t>
        </is>
      </c>
      <c r="G684" t="inlineStr">
        <is>
          <t>LJUNGBY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46225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27012-2025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45811</v>
      </c>
      <c r="E686" s="1" t="n">
        <v>46225</v>
      </c>
      <c r="F686" t="inlineStr">
        <is>
          <t>KRONOBERGS LÄN</t>
        </is>
      </c>
      <c r="G686" t="inlineStr">
        <is>
          <t>LJUNGBY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57467-2024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45630</v>
      </c>
      <c r="E687" s="1" t="n">
        <v>46225</v>
      </c>
      <c r="F687" t="inlineStr">
        <is>
          <t>KRONOBERGS LÄN</t>
        </is>
      </c>
      <c r="G687" t="inlineStr">
        <is>
          <t>LJUNGBY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46155</v>
      </c>
      <c r="E688" s="1" t="n">
        <v>46225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22663-2026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46155</v>
      </c>
      <c r="E689" s="1" t="n">
        <v>46225</v>
      </c>
      <c r="F689" t="inlineStr">
        <is>
          <t>KRONOBERGS LÄN</t>
        </is>
      </c>
      <c r="G689" t="inlineStr">
        <is>
          <t>LJUNGBY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28559-2026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46197</v>
      </c>
      <c r="E690" s="1" t="n">
        <v>46225</v>
      </c>
      <c r="F690" t="inlineStr">
        <is>
          <t>KRONOBERGS LÄN</t>
        </is>
      </c>
      <c r="G690" t="inlineStr">
        <is>
          <t>LJUNGBY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15974-2025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45749</v>
      </c>
      <c r="E691" s="1" t="n">
        <v>46225</v>
      </c>
      <c r="F691" t="inlineStr">
        <is>
          <t>KRONOBERGS LÄN</t>
        </is>
      </c>
      <c r="G691" t="inlineStr">
        <is>
          <t>LJUNGBY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11137-2026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46079</v>
      </c>
      <c r="E692" s="1" t="n">
        <v>46225</v>
      </c>
      <c r="F692" t="inlineStr">
        <is>
          <t>KRONOBERGS LÄN</t>
        </is>
      </c>
      <c r="G692" t="inlineStr">
        <is>
          <t>LJUNGBY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47805-2023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45204</v>
      </c>
      <c r="E693" s="1" t="n">
        <v>46225</v>
      </c>
      <c r="F693" t="inlineStr">
        <is>
          <t>KRONOBERGS LÄN</t>
        </is>
      </c>
      <c r="G693" t="inlineStr">
        <is>
          <t>LJUNGBY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22835-2026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46160</v>
      </c>
      <c r="E694" s="1" t="n">
        <v>46225</v>
      </c>
      <c r="F694" t="inlineStr">
        <is>
          <t>KRONOBERGS LÄN</t>
        </is>
      </c>
      <c r="G694" t="inlineStr">
        <is>
          <t>LJUNGBY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9288-2023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44980</v>
      </c>
      <c r="E695" s="1" t="n">
        <v>46225</v>
      </c>
      <c r="F695" t="inlineStr">
        <is>
          <t>KRONOBERGS LÄN</t>
        </is>
      </c>
      <c r="G695" t="inlineStr">
        <is>
          <t>LJUNGBY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52291-2023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45224</v>
      </c>
      <c r="E696" s="1" t="n">
        <v>46225</v>
      </c>
      <c r="F696" t="inlineStr">
        <is>
          <t>KRONOBERGS LÄN</t>
        </is>
      </c>
      <c r="G696" t="inlineStr">
        <is>
          <t>LJUNGBY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45510</v>
      </c>
      <c r="E697" s="1" t="n">
        <v>46225</v>
      </c>
      <c r="F697" t="inlineStr">
        <is>
          <t>KRONOBERGS LÄN</t>
        </is>
      </c>
      <c r="G697" t="inlineStr">
        <is>
          <t>LJUNGBY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52363-2023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45224</v>
      </c>
      <c r="E698" s="1" t="n">
        <v>46225</v>
      </c>
      <c r="F698" t="inlineStr">
        <is>
          <t>KRONOBERGS LÄN</t>
        </is>
      </c>
      <c r="G698" t="inlineStr">
        <is>
          <t>LJUNGBY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23201-2026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46161</v>
      </c>
      <c r="E699" s="1" t="n">
        <v>46225</v>
      </c>
      <c r="F699" t="inlineStr">
        <is>
          <t>KRONOBERGS LÄN</t>
        </is>
      </c>
      <c r="G699" t="inlineStr">
        <is>
          <t>LJUNGBY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61637-2024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45646</v>
      </c>
      <c r="E700" s="1" t="n">
        <v>46225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17298-2023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45035</v>
      </c>
      <c r="E701" s="1" t="n">
        <v>46225</v>
      </c>
      <c r="F701" t="inlineStr">
        <is>
          <t>KRONOBERGS LÄN</t>
        </is>
      </c>
      <c r="G701" t="inlineStr">
        <is>
          <t>LJUNGBY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7535-2025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45705</v>
      </c>
      <c r="E702" s="1" t="n">
        <v>46225</v>
      </c>
      <c r="F702" t="inlineStr">
        <is>
          <t>KRONOBERGS LÄN</t>
        </is>
      </c>
      <c r="G702" t="inlineStr">
        <is>
          <t>LJUNGBY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40092-2022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44820</v>
      </c>
      <c r="E703" s="1" t="n">
        <v>46225</v>
      </c>
      <c r="F703" t="inlineStr">
        <is>
          <t>KRONOBERGS LÄN</t>
        </is>
      </c>
      <c r="G703" t="inlineStr">
        <is>
          <t>LJUNGBY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56826-2024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45628</v>
      </c>
      <c r="E704" s="1" t="n">
        <v>46225</v>
      </c>
      <c r="F704" t="inlineStr">
        <is>
          <t>KRONOBERGS LÄN</t>
        </is>
      </c>
      <c r="G704" t="inlineStr">
        <is>
          <t>LJUNGBY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22122-2022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44712</v>
      </c>
      <c r="E705" s="1" t="n">
        <v>46225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16910-2023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45033</v>
      </c>
      <c r="E706" s="1" t="n">
        <v>46225</v>
      </c>
      <c r="F706" t="inlineStr">
        <is>
          <t>KRONOBERGS LÄN</t>
        </is>
      </c>
      <c r="G706" t="inlineStr">
        <is>
          <t>LJUNGBY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30218-2026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46206</v>
      </c>
      <c r="E707" s="1" t="n">
        <v>46225</v>
      </c>
      <c r="F707" t="inlineStr">
        <is>
          <t>KRONOBERGS LÄN</t>
        </is>
      </c>
      <c r="G707" t="inlineStr">
        <is>
          <t>LJUNGBY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29768-2026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46204</v>
      </c>
      <c r="E708" s="1" t="n">
        <v>46225</v>
      </c>
      <c r="F708" t="inlineStr">
        <is>
          <t>KRONOBERGS LÄN</t>
        </is>
      </c>
      <c r="G708" t="inlineStr">
        <is>
          <t>LJUNGBY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39833-2023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45168</v>
      </c>
      <c r="E709" s="1" t="n">
        <v>46225</v>
      </c>
      <c r="F709" t="inlineStr">
        <is>
          <t>KRONOBERGS LÄN</t>
        </is>
      </c>
      <c r="G709" t="inlineStr">
        <is>
          <t>LJUNGBY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45714</v>
      </c>
      <c r="E710" s="1" t="n">
        <v>46225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14476-2023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45012</v>
      </c>
      <c r="E711" s="1" t="n">
        <v>46225</v>
      </c>
      <c r="F711" t="inlineStr">
        <is>
          <t>KRONOBERGS LÄN</t>
        </is>
      </c>
      <c r="G711" t="inlineStr">
        <is>
          <t>LJUNGBY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10939-2023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44991</v>
      </c>
      <c r="E712" s="1" t="n">
        <v>46225</v>
      </c>
      <c r="F712" t="inlineStr">
        <is>
          <t>KRONOBERGS LÄN</t>
        </is>
      </c>
      <c r="G712" t="inlineStr">
        <is>
          <t>LJUNGBY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30385-2023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45111</v>
      </c>
      <c r="E713" s="1" t="n">
        <v>46225</v>
      </c>
      <c r="F713" t="inlineStr">
        <is>
          <t>KRONOBERGS LÄN</t>
        </is>
      </c>
      <c r="G713" t="inlineStr">
        <is>
          <t>LJUNGBY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55342-2024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45621</v>
      </c>
      <c r="E714" s="1" t="n">
        <v>46225</v>
      </c>
      <c r="F714" t="inlineStr">
        <is>
          <t>KRONOBERGS LÄN</t>
        </is>
      </c>
      <c r="G714" t="inlineStr">
        <is>
          <t>LJUNGBY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62198-2023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45267</v>
      </c>
      <c r="E715" s="1" t="n">
        <v>46225</v>
      </c>
      <c r="F715" t="inlineStr">
        <is>
          <t>KRONOBERGS LÄN</t>
        </is>
      </c>
      <c r="G715" t="inlineStr">
        <is>
          <t>LJUNGBY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60364-2024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45643</v>
      </c>
      <c r="E716" s="1" t="n">
        <v>46225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10849-2023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44991</v>
      </c>
      <c r="E717" s="1" t="n">
        <v>46225</v>
      </c>
      <c r="F717" t="inlineStr">
        <is>
          <t>KRONOBERGS LÄN</t>
        </is>
      </c>
      <c r="G717" t="inlineStr">
        <is>
          <t>LJUNGBY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10925-2023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44991</v>
      </c>
      <c r="E718" s="1" t="n">
        <v>46225</v>
      </c>
      <c r="F718" t="inlineStr">
        <is>
          <t>KRONOBERGS LÄN</t>
        </is>
      </c>
      <c r="G718" t="inlineStr">
        <is>
          <t>LJUNGBY</t>
        </is>
      </c>
      <c r="I718" t="n">
        <v>7.3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18233-2025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45761</v>
      </c>
      <c r="E719" s="1" t="n">
        <v>46225</v>
      </c>
      <c r="F719" t="inlineStr">
        <is>
          <t>KRONOBERGS LÄN</t>
        </is>
      </c>
      <c r="G719" t="inlineStr">
        <is>
          <t>LJUNGBY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30035-2026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46206</v>
      </c>
      <c r="E720" s="1" t="n">
        <v>46225</v>
      </c>
      <c r="F720" t="inlineStr">
        <is>
          <t>KRONOBERGS LÄN</t>
        </is>
      </c>
      <c r="G720" t="inlineStr">
        <is>
          <t>LJUNGBY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30146-2026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46225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30208-2026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46225</v>
      </c>
      <c r="F722" t="inlineStr">
        <is>
          <t>KRONOBERGS LÄN</t>
        </is>
      </c>
      <c r="G722" t="inlineStr">
        <is>
          <t>LJUNGBY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20168-2023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45055</v>
      </c>
      <c r="E723" s="1" t="n">
        <v>46225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46206</v>
      </c>
      <c r="E724" s="1" t="n">
        <v>46225</v>
      </c>
      <c r="F724" t="inlineStr">
        <is>
          <t>KRONOBERGS LÄN</t>
        </is>
      </c>
      <c r="G724" t="inlineStr">
        <is>
          <t>LJUNGBY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54716-2023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45236</v>
      </c>
      <c r="E725" s="1" t="n">
        <v>46225</v>
      </c>
      <c r="F725" t="inlineStr">
        <is>
          <t>KRONOBERGS LÄN</t>
        </is>
      </c>
      <c r="G725" t="inlineStr">
        <is>
          <t>LJUNGBY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13229-2025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45735</v>
      </c>
      <c r="E726" s="1" t="n">
        <v>46225</v>
      </c>
      <c r="F726" t="inlineStr">
        <is>
          <t>KRONOBERGS LÄN</t>
        </is>
      </c>
      <c r="G726" t="inlineStr">
        <is>
          <t>LJUNGBY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44565</v>
      </c>
      <c r="E727" s="1" t="n">
        <v>46225</v>
      </c>
      <c r="F727" t="inlineStr">
        <is>
          <t>KRONOBERGS LÄN</t>
        </is>
      </c>
      <c r="G727" t="inlineStr">
        <is>
          <t>LJUNGBY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44565</v>
      </c>
      <c r="E728" s="1" t="n">
        <v>46225</v>
      </c>
      <c r="F728" t="inlineStr">
        <is>
          <t>KRONOBERGS LÄN</t>
        </is>
      </c>
      <c r="G728" t="inlineStr">
        <is>
          <t>LJUNGBY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40898-2023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45169</v>
      </c>
      <c r="E729" s="1" t="n">
        <v>46225</v>
      </c>
      <c r="F729" t="inlineStr">
        <is>
          <t>KRONOBERGS LÄN</t>
        </is>
      </c>
      <c r="G729" t="inlineStr">
        <is>
          <t>LJUNGBY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37689-2022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44810</v>
      </c>
      <c r="E730" s="1" t="n">
        <v>46225</v>
      </c>
      <c r="F730" t="inlineStr">
        <is>
          <t>KRONOBERGS LÄN</t>
        </is>
      </c>
      <c r="G730" t="inlineStr">
        <is>
          <t>LJUNGBY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47706-2021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44448</v>
      </c>
      <c r="E731" s="1" t="n">
        <v>46225</v>
      </c>
      <c r="F731" t="inlineStr">
        <is>
          <t>KRONOBERGS LÄN</t>
        </is>
      </c>
      <c r="G731" t="inlineStr">
        <is>
          <t>LJUNGBY</t>
        </is>
      </c>
      <c r="H731" t="inlineStr">
        <is>
          <t>Kyrkan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9344-2025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45714</v>
      </c>
      <c r="E732" s="1" t="n">
        <v>46225</v>
      </c>
      <c r="F732" t="inlineStr">
        <is>
          <t>KRONOBERGS LÄN</t>
        </is>
      </c>
      <c r="G732" t="inlineStr">
        <is>
          <t>LJUNGBY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22615-2023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45071</v>
      </c>
      <c r="E733" s="1" t="n">
        <v>46225</v>
      </c>
      <c r="F733" t="inlineStr">
        <is>
          <t>KRONOBERGS LÄN</t>
        </is>
      </c>
      <c r="G733" t="inlineStr">
        <is>
          <t>LJUNGBY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22619-2023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45071</v>
      </c>
      <c r="E734" s="1" t="n">
        <v>46225</v>
      </c>
      <c r="F734" t="inlineStr">
        <is>
          <t>KRONOBERGS LÄN</t>
        </is>
      </c>
      <c r="G734" t="inlineStr">
        <is>
          <t>LJUNGBY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12510-2025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45730</v>
      </c>
      <c r="E735" s="1" t="n">
        <v>46225</v>
      </c>
      <c r="F735" t="inlineStr">
        <is>
          <t>KRONOBERGS LÄN</t>
        </is>
      </c>
      <c r="G735" t="inlineStr">
        <is>
          <t>LJUNGBY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60248-2022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44903</v>
      </c>
      <c r="E736" s="1" t="n">
        <v>46225</v>
      </c>
      <c r="F736" t="inlineStr">
        <is>
          <t>KRONOBERGS LÄN</t>
        </is>
      </c>
      <c r="G736" t="inlineStr">
        <is>
          <t>LJUNGBY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23319-2023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45076</v>
      </c>
      <c r="E737" s="1" t="n">
        <v>46225</v>
      </c>
      <c r="F737" t="inlineStr">
        <is>
          <t>KRONOBERGS LÄN</t>
        </is>
      </c>
      <c r="G737" t="inlineStr">
        <is>
          <t>LJUNGBY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23600-2023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45077</v>
      </c>
      <c r="E738" s="1" t="n">
        <v>46225</v>
      </c>
      <c r="F738" t="inlineStr">
        <is>
          <t>KRONOBERGS LÄN</t>
        </is>
      </c>
      <c r="G738" t="inlineStr">
        <is>
          <t>LJUNGBY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30604-2026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46225</v>
      </c>
      <c r="F739" t="inlineStr">
        <is>
          <t>KRONOBERGS LÄN</t>
        </is>
      </c>
      <c r="G739" t="inlineStr">
        <is>
          <t>LJUNGBY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21969-2023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45068</v>
      </c>
      <c r="E740" s="1" t="n">
        <v>46225</v>
      </c>
      <c r="F740" t="inlineStr">
        <is>
          <t>KRONOBERGS LÄN</t>
        </is>
      </c>
      <c r="G740" t="inlineStr">
        <is>
          <t>LJUNGBY</t>
        </is>
      </c>
      <c r="H740" t="inlineStr">
        <is>
          <t>Kommuner</t>
        </is>
      </c>
      <c r="I740" t="n">
        <v>8.9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18961-2025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46225</v>
      </c>
      <c r="F741" t="inlineStr">
        <is>
          <t>KRONOBERGS LÄN</t>
        </is>
      </c>
      <c r="G741" t="inlineStr">
        <is>
          <t>LJUNGBY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30751-2026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46225</v>
      </c>
      <c r="F742" t="inlineStr">
        <is>
          <t>KRONOBERGS LÄN</t>
        </is>
      </c>
      <c r="G742" t="inlineStr">
        <is>
          <t>LJUNGBY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44565</v>
      </c>
      <c r="E743" s="1" t="n">
        <v>46225</v>
      </c>
      <c r="F743" t="inlineStr">
        <is>
          <t>KRONOBERGS LÄN</t>
        </is>
      </c>
      <c r="G743" t="inlineStr">
        <is>
          <t>LJUNGBY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17635-2023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45036</v>
      </c>
      <c r="E744" s="1" t="n">
        <v>46225</v>
      </c>
      <c r="F744" t="inlineStr">
        <is>
          <t>KRONOBERGS LÄN</t>
        </is>
      </c>
      <c r="G744" t="inlineStr">
        <is>
          <t>LJUNGBY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54910-2022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44886</v>
      </c>
      <c r="E745" s="1" t="n">
        <v>46225</v>
      </c>
      <c r="F745" t="inlineStr">
        <is>
          <t>KRONOBERGS LÄN</t>
        </is>
      </c>
      <c r="G745" t="inlineStr">
        <is>
          <t>LJUNGBY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3527-2022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44585</v>
      </c>
      <c r="E746" s="1" t="n">
        <v>46225</v>
      </c>
      <c r="F746" t="inlineStr">
        <is>
          <t>KRONOBERGS LÄN</t>
        </is>
      </c>
      <c r="G746" t="inlineStr">
        <is>
          <t>LJUNGBY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54984-2024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45620</v>
      </c>
      <c r="E747" s="1" t="n">
        <v>46225</v>
      </c>
      <c r="F747" t="inlineStr">
        <is>
          <t>KRONOBERGS LÄN</t>
        </is>
      </c>
      <c r="G747" t="inlineStr">
        <is>
          <t>LJUNGBY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73342-2021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44551</v>
      </c>
      <c r="E748" s="1" t="n">
        <v>46225</v>
      </c>
      <c r="F748" t="inlineStr">
        <is>
          <t>KRONOBERGS LÄN</t>
        </is>
      </c>
      <c r="G748" t="inlineStr">
        <is>
          <t>LJUNGBY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48930-2024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45594</v>
      </c>
      <c r="E749" s="1" t="n">
        <v>46225</v>
      </c>
      <c r="F749" t="inlineStr">
        <is>
          <t>KRONOBERGS LÄN</t>
        </is>
      </c>
      <c r="G749" t="inlineStr">
        <is>
          <t>LJUNGBY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10441-2024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45366</v>
      </c>
      <c r="E750" s="1" t="n">
        <v>46225</v>
      </c>
      <c r="F750" t="inlineStr">
        <is>
          <t>KRONOBERGS LÄN</t>
        </is>
      </c>
      <c r="G750" t="inlineStr">
        <is>
          <t>LJUNGBY</t>
        </is>
      </c>
      <c r="I750" t="n">
        <v>5.6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38638-2024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45546</v>
      </c>
      <c r="E751" s="1" t="n">
        <v>46225</v>
      </c>
      <c r="F751" t="inlineStr">
        <is>
          <t>KRONOBERGS LÄN</t>
        </is>
      </c>
      <c r="G751" t="inlineStr">
        <is>
          <t>LJUNGBY</t>
        </is>
      </c>
      <c r="H751" t="inlineStr">
        <is>
          <t>Sveaskog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38639-2024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45546</v>
      </c>
      <c r="E752" s="1" t="n">
        <v>46225</v>
      </c>
      <c r="F752" t="inlineStr">
        <is>
          <t>KRONOBERGS LÄN</t>
        </is>
      </c>
      <c r="G752" t="inlineStr">
        <is>
          <t>LJUNGBY</t>
        </is>
      </c>
      <c r="H752" t="inlineStr">
        <is>
          <t>Sveaskog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40923-2021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44421</v>
      </c>
      <c r="E753" s="1" t="n">
        <v>46225</v>
      </c>
      <c r="F753" t="inlineStr">
        <is>
          <t>KRONOBERGS LÄN</t>
        </is>
      </c>
      <c r="G753" t="inlineStr">
        <is>
          <t>LJUNGBY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32046-2024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45510</v>
      </c>
      <c r="E754" s="1" t="n">
        <v>46225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46225</v>
      </c>
      <c r="F755" t="inlineStr">
        <is>
          <t>KRONOBERGS LÄN</t>
        </is>
      </c>
      <c r="G755" t="inlineStr">
        <is>
          <t>LJUNGBY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15072-2026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46225</v>
      </c>
      <c r="F756" t="inlineStr">
        <is>
          <t>KRONOBERGS LÄN</t>
        </is>
      </c>
      <c r="G756" t="inlineStr">
        <is>
          <t>LJUNGBY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46170</v>
      </c>
      <c r="E757" s="1" t="n">
        <v>46225</v>
      </c>
      <c r="F757" t="inlineStr">
        <is>
          <t>KRONOBERGS LÄN</t>
        </is>
      </c>
      <c r="G757" t="inlineStr">
        <is>
          <t>LJUNGBY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24459-2026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46225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31148-2026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46216</v>
      </c>
      <c r="E759" s="1" t="n">
        <v>46225</v>
      </c>
      <c r="F759" t="inlineStr">
        <is>
          <t>KRONOBERGS LÄN</t>
        </is>
      </c>
      <c r="G759" t="inlineStr">
        <is>
          <t>LJUNGBY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57336-2024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45629</v>
      </c>
      <c r="E760" s="1" t="n">
        <v>46225</v>
      </c>
      <c r="F760" t="inlineStr">
        <is>
          <t>KRONOBERGS LÄN</t>
        </is>
      </c>
      <c r="G760" t="inlineStr">
        <is>
          <t>LJUNGBY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46225</v>
      </c>
      <c r="F761" t="inlineStr">
        <is>
          <t>KRONOBERGS LÄN</t>
        </is>
      </c>
      <c r="G761" t="inlineStr">
        <is>
          <t>LJUNGBY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47232-2023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45202</v>
      </c>
      <c r="E762" s="1" t="n">
        <v>46225</v>
      </c>
      <c r="F762" t="inlineStr">
        <is>
          <t>KRONOBERGS LÄN</t>
        </is>
      </c>
      <c r="G762" t="inlineStr">
        <is>
          <t>LJUNGBY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24639-2026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46171</v>
      </c>
      <c r="E763" s="1" t="n">
        <v>46225</v>
      </c>
      <c r="F763" t="inlineStr">
        <is>
          <t>KRONOBERGS LÄN</t>
        </is>
      </c>
      <c r="G763" t="inlineStr">
        <is>
          <t>LJUNGBY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62361-2022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44923</v>
      </c>
      <c r="E764" s="1" t="n">
        <v>46225</v>
      </c>
      <c r="F764" t="inlineStr">
        <is>
          <t>KRONOBERGS LÄN</t>
        </is>
      </c>
      <c r="G764" t="inlineStr">
        <is>
          <t>LJUNGBY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45857-2022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44846</v>
      </c>
      <c r="E765" s="1" t="n">
        <v>46225</v>
      </c>
      <c r="F765" t="inlineStr">
        <is>
          <t>KRONOBERGS LÄN</t>
        </is>
      </c>
      <c r="G765" t="inlineStr">
        <is>
          <t>LJUNGBY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57310-2022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44896</v>
      </c>
      <c r="E766" s="1" t="n">
        <v>46225</v>
      </c>
      <c r="F766" t="inlineStr">
        <is>
          <t>KRONOBERGS LÄN</t>
        </is>
      </c>
      <c r="G766" t="inlineStr">
        <is>
          <t>LJUNGBY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20608-2025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45775</v>
      </c>
      <c r="E767" s="1" t="n">
        <v>46225</v>
      </c>
      <c r="F767" t="inlineStr">
        <is>
          <t>KRONOBERGS LÄN</t>
        </is>
      </c>
      <c r="G767" t="inlineStr">
        <is>
          <t>LJUNGBY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25041-2026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46174</v>
      </c>
      <c r="E768" s="1" t="n">
        <v>46225</v>
      </c>
      <c r="F768" t="inlineStr">
        <is>
          <t>KRONOBERGS LÄN</t>
        </is>
      </c>
      <c r="G768" t="inlineStr">
        <is>
          <t>LJUNGBY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25048-2026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46174</v>
      </c>
      <c r="E769" s="1" t="n">
        <v>46225</v>
      </c>
      <c r="F769" t="inlineStr">
        <is>
          <t>KRONOBERGS LÄN</t>
        </is>
      </c>
      <c r="G769" t="inlineStr">
        <is>
          <t>LJUNGBY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45099</v>
      </c>
      <c r="E770" s="1" t="n">
        <v>46225</v>
      </c>
      <c r="F770" t="inlineStr">
        <is>
          <t>KRONOBERGS LÄN</t>
        </is>
      </c>
      <c r="G770" t="inlineStr">
        <is>
          <t>LJUNGBY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26623-2023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45092</v>
      </c>
      <c r="E771" s="1" t="n">
        <v>46225</v>
      </c>
      <c r="F771" t="inlineStr">
        <is>
          <t>KRONOBERGS LÄN</t>
        </is>
      </c>
      <c r="G771" t="inlineStr">
        <is>
          <t>LJUNGBY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28677-2023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45103</v>
      </c>
      <c r="E772" s="1" t="n">
        <v>46225</v>
      </c>
      <c r="F772" t="inlineStr">
        <is>
          <t>KRONOBERGS LÄN</t>
        </is>
      </c>
      <c r="G772" t="inlineStr">
        <is>
          <t>LJUNGBY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49228-2024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45595</v>
      </c>
      <c r="E773" s="1" t="n">
        <v>46225</v>
      </c>
      <c r="F773" t="inlineStr">
        <is>
          <t>KRONOBERGS LÄN</t>
        </is>
      </c>
      <c r="G773" t="inlineStr">
        <is>
          <t>LJUNGBY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45307</v>
      </c>
      <c r="E774" s="1" t="n">
        <v>46225</v>
      </c>
      <c r="F774" t="inlineStr">
        <is>
          <t>KRONOBERGS LÄN</t>
        </is>
      </c>
      <c r="G774" t="inlineStr">
        <is>
          <t>LJUNGBY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25295-2026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46225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21758-2023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45065</v>
      </c>
      <c r="E776" s="1" t="n">
        <v>46225</v>
      </c>
      <c r="F776" t="inlineStr">
        <is>
          <t>KRONOBERGS LÄN</t>
        </is>
      </c>
      <c r="G776" t="inlineStr">
        <is>
          <t>LJUNGBY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25356-2026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46176</v>
      </c>
      <c r="E777" s="1" t="n">
        <v>46225</v>
      </c>
      <c r="F777" t="inlineStr">
        <is>
          <t>KRONOBERGS LÄN</t>
        </is>
      </c>
      <c r="G777" t="inlineStr">
        <is>
          <t>LJUNGBY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8134-2023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44974</v>
      </c>
      <c r="E778" s="1" t="n">
        <v>46225</v>
      </c>
      <c r="F778" t="inlineStr">
        <is>
          <t>KRONOBERGS LÄN</t>
        </is>
      </c>
      <c r="G778" t="inlineStr">
        <is>
          <t>LJUNGBY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62504-2022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44924</v>
      </c>
      <c r="E779" s="1" t="n">
        <v>46225</v>
      </c>
      <c r="F779" t="inlineStr">
        <is>
          <t>KRONOBERGS LÄN</t>
        </is>
      </c>
      <c r="G779" t="inlineStr">
        <is>
          <t>LJUNGBY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17286-2023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45035</v>
      </c>
      <c r="E780" s="1" t="n">
        <v>46225</v>
      </c>
      <c r="F780" t="inlineStr">
        <is>
          <t>KRONOBERGS LÄN</t>
        </is>
      </c>
      <c r="G780" t="inlineStr">
        <is>
          <t>LJUNGBY</t>
        </is>
      </c>
      <c r="I780" t="n">
        <v>10.4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62994-2023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45272</v>
      </c>
      <c r="E781" s="1" t="n">
        <v>46225</v>
      </c>
      <c r="F781" t="inlineStr">
        <is>
          <t>KRONOBERGS LÄN</t>
        </is>
      </c>
      <c r="G781" t="inlineStr">
        <is>
          <t>LJUNGBY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26228-2026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46182</v>
      </c>
      <c r="E782" s="1" t="n">
        <v>46225</v>
      </c>
      <c r="F782" t="inlineStr">
        <is>
          <t>KRONOBERGS LÄN</t>
        </is>
      </c>
      <c r="G782" t="inlineStr">
        <is>
          <t>LJUNGBY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33075-2023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45126</v>
      </c>
      <c r="E783" s="1" t="n">
        <v>46225</v>
      </c>
      <c r="F783" t="inlineStr">
        <is>
          <t>KRONOBERGS LÄN</t>
        </is>
      </c>
      <c r="G783" t="inlineStr">
        <is>
          <t>LJUNGBY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26230-2026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46182</v>
      </c>
      <c r="E784" s="1" t="n">
        <v>46225</v>
      </c>
      <c r="F784" t="inlineStr">
        <is>
          <t>KRONOBERGS LÄN</t>
        </is>
      </c>
      <c r="G784" t="inlineStr">
        <is>
          <t>LJUNGBY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43347-2023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45183</v>
      </c>
      <c r="E785" s="1" t="n">
        <v>46225</v>
      </c>
      <c r="F785" t="inlineStr">
        <is>
          <t>KRONOBERGS LÄN</t>
        </is>
      </c>
      <c r="G785" t="inlineStr">
        <is>
          <t>LJUNGBY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26195-2026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46182</v>
      </c>
      <c r="E786" s="1" t="n">
        <v>46225</v>
      </c>
      <c r="F786" t="inlineStr">
        <is>
          <t>KRONOBERGS LÄN</t>
        </is>
      </c>
      <c r="G786" t="inlineStr">
        <is>
          <t>LJUNGBY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51852-2023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45223</v>
      </c>
      <c r="E787" s="1" t="n">
        <v>46225</v>
      </c>
      <c r="F787" t="inlineStr">
        <is>
          <t>KRONOBERGS LÄN</t>
        </is>
      </c>
      <c r="G787" t="inlineStr">
        <is>
          <t>LJUNGBY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51856-2023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45223</v>
      </c>
      <c r="E788" s="1" t="n">
        <v>46225</v>
      </c>
      <c r="F788" t="inlineStr">
        <is>
          <t>KRONOBERGS LÄN</t>
        </is>
      </c>
      <c r="G788" t="inlineStr">
        <is>
          <t>LJUNGBY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53412-2024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45614</v>
      </c>
      <c r="E789" s="1" t="n">
        <v>46225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62858-2023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45272</v>
      </c>
      <c r="E790" s="1" t="n">
        <v>46225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30750-2026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46211</v>
      </c>
      <c r="E791" s="1" t="n">
        <v>46225</v>
      </c>
      <c r="F791" t="inlineStr">
        <is>
          <t>KRONOBERGS LÄN</t>
        </is>
      </c>
      <c r="G791" t="inlineStr">
        <is>
          <t>LJUNGBY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26882-2024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45470</v>
      </c>
      <c r="E792" s="1" t="n">
        <v>46225</v>
      </c>
      <c r="F792" t="inlineStr">
        <is>
          <t>KRONOBERGS LÄN</t>
        </is>
      </c>
      <c r="G792" t="inlineStr">
        <is>
          <t>LJUNGBY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27628-2023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45097</v>
      </c>
      <c r="E793" s="1" t="n">
        <v>46225</v>
      </c>
      <c r="F793" t="inlineStr">
        <is>
          <t>KRONOBERGS LÄN</t>
        </is>
      </c>
      <c r="G793" t="inlineStr">
        <is>
          <t>LJUNGBY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25427-2024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45463</v>
      </c>
      <c r="E794" s="1" t="n">
        <v>46225</v>
      </c>
      <c r="F794" t="inlineStr">
        <is>
          <t>KRONOBERGS LÄN</t>
        </is>
      </c>
      <c r="G794" t="inlineStr">
        <is>
          <t>LJUNGBY</t>
        </is>
      </c>
      <c r="H794" t="inlineStr">
        <is>
          <t>Sveaskog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11506-2024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45372</v>
      </c>
      <c r="E795" s="1" t="n">
        <v>46225</v>
      </c>
      <c r="F795" t="inlineStr">
        <is>
          <t>KRONOBERGS LÄN</t>
        </is>
      </c>
      <c r="G795" t="inlineStr">
        <is>
          <t>LJUNGBY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1562-2024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45306</v>
      </c>
      <c r="E796" s="1" t="n">
        <v>46225</v>
      </c>
      <c r="F796" t="inlineStr">
        <is>
          <t>KRONOBERGS LÄN</t>
        </is>
      </c>
      <c r="G796" t="inlineStr">
        <is>
          <t>LJUNGBY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43024-2024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45567</v>
      </c>
      <c r="E797" s="1" t="n">
        <v>46225</v>
      </c>
      <c r="F797" t="inlineStr">
        <is>
          <t>KRONOBERGS LÄN</t>
        </is>
      </c>
      <c r="G797" t="inlineStr">
        <is>
          <t>LJUNGBY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28323-2023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45099</v>
      </c>
      <c r="E798" s="1" t="n">
        <v>46225</v>
      </c>
      <c r="F798" t="inlineStr">
        <is>
          <t>KRONOBERGS LÄN</t>
        </is>
      </c>
      <c r="G798" t="inlineStr">
        <is>
          <t>LJUNGBY</t>
        </is>
      </c>
      <c r="I798" t="n">
        <v>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16754-2025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45754</v>
      </c>
      <c r="E799" s="1" t="n">
        <v>46225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46360-2022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44848</v>
      </c>
      <c r="E800" s="1" t="n">
        <v>46225</v>
      </c>
      <c r="F800" t="inlineStr">
        <is>
          <t>KRONOBERGS LÄN</t>
        </is>
      </c>
      <c r="G800" t="inlineStr">
        <is>
          <t>LJUNGBY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38399-2023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45162</v>
      </c>
      <c r="E801" s="1" t="n">
        <v>46225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54614-2024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45617</v>
      </c>
      <c r="E802" s="1" t="n">
        <v>46225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42611-2023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45181</v>
      </c>
      <c r="E803" s="1" t="n">
        <v>46225</v>
      </c>
      <c r="F803" t="inlineStr">
        <is>
          <t>KRONOBERGS LÄN</t>
        </is>
      </c>
      <c r="G803" t="inlineStr">
        <is>
          <t>LJUNGBY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13608-2024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45390</v>
      </c>
      <c r="E804" s="1" t="n">
        <v>46225</v>
      </c>
      <c r="F804" t="inlineStr">
        <is>
          <t>KRONOBERGS LÄN</t>
        </is>
      </c>
      <c r="G804" t="inlineStr">
        <is>
          <t>LJUNGBY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35900-2023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45148</v>
      </c>
      <c r="E805" s="1" t="n">
        <v>46225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39835-2023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45168</v>
      </c>
      <c r="E806" s="1" t="n">
        <v>46225</v>
      </c>
      <c r="F806" t="inlineStr">
        <is>
          <t>KRONOBERGS LÄN</t>
        </is>
      </c>
      <c r="G806" t="inlineStr">
        <is>
          <t>LJUNGBY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44166-2023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45188</v>
      </c>
      <c r="E807" s="1" t="n">
        <v>46225</v>
      </c>
      <c r="F807" t="inlineStr">
        <is>
          <t>KRONOBERGS LÄN</t>
        </is>
      </c>
      <c r="G807" t="inlineStr">
        <is>
          <t>LJUNGBY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9912-2023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44985</v>
      </c>
      <c r="E808" s="1" t="n">
        <v>46225</v>
      </c>
      <c r="F808" t="inlineStr">
        <is>
          <t>KRONOBERGS LÄN</t>
        </is>
      </c>
      <c r="G808" t="inlineStr">
        <is>
          <t>LJUNGBY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9919-2023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44985</v>
      </c>
      <c r="E809" s="1" t="n">
        <v>46225</v>
      </c>
      <c r="F809" t="inlineStr">
        <is>
          <t>KRONOBERGS LÄN</t>
        </is>
      </c>
      <c r="G809" t="inlineStr">
        <is>
          <t>LJUNGBY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31528-2023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45116</v>
      </c>
      <c r="E810" s="1" t="n">
        <v>46225</v>
      </c>
      <c r="F810" t="inlineStr">
        <is>
          <t>KRONOBERGS LÄN</t>
        </is>
      </c>
      <c r="G810" t="inlineStr">
        <is>
          <t>LJUNGBY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31529-2023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45116</v>
      </c>
      <c r="E811" s="1" t="n">
        <v>46225</v>
      </c>
      <c r="F811" t="inlineStr">
        <is>
          <t>KRONOBERGS LÄN</t>
        </is>
      </c>
      <c r="G811" t="inlineStr">
        <is>
          <t>LJUNGBY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10889-2024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45370</v>
      </c>
      <c r="E812" s="1" t="n">
        <v>46225</v>
      </c>
      <c r="F812" t="inlineStr">
        <is>
          <t>KRONOBERGS LÄN</t>
        </is>
      </c>
      <c r="G812" t="inlineStr">
        <is>
          <t>LJUNGBY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1618-2023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44937</v>
      </c>
      <c r="E813" s="1" t="n">
        <v>46225</v>
      </c>
      <c r="F813" t="inlineStr">
        <is>
          <t>KRONOBERGS LÄN</t>
        </is>
      </c>
      <c r="G813" t="inlineStr">
        <is>
          <t>LJUNGBY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63369-2023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45273</v>
      </c>
      <c r="E814" s="1" t="n">
        <v>46225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35963-2024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45533</v>
      </c>
      <c r="E815" s="1" t="n">
        <v>46225</v>
      </c>
      <c r="F815" t="inlineStr">
        <is>
          <t>KRONOBERGS LÄN</t>
        </is>
      </c>
      <c r="G815" t="inlineStr">
        <is>
          <t>LJUNGBY</t>
        </is>
      </c>
      <c r="H815" t="inlineStr">
        <is>
          <t>Kyrkan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48675-2024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45593</v>
      </c>
      <c r="E816" s="1" t="n">
        <v>46225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11893-2023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44995</v>
      </c>
      <c r="E817" s="1" t="n">
        <v>46225</v>
      </c>
      <c r="F817" t="inlineStr">
        <is>
          <t>KRONOBERGS LÄN</t>
        </is>
      </c>
      <c r="G817" t="inlineStr">
        <is>
          <t>LJUNGBY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53539-2024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45614</v>
      </c>
      <c r="E818" s="1" t="n">
        <v>46225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5.1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16728-2025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45754</v>
      </c>
      <c r="E819" s="1" t="n">
        <v>46225</v>
      </c>
      <c r="F819" t="inlineStr">
        <is>
          <t>KRONOBERGS LÄN</t>
        </is>
      </c>
      <c r="G819" t="inlineStr">
        <is>
          <t>LJUNGBY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34209-2024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45524</v>
      </c>
      <c r="E820" s="1" t="n">
        <v>46225</v>
      </c>
      <c r="F820" t="inlineStr">
        <is>
          <t>KRONOBERGS LÄN</t>
        </is>
      </c>
      <c r="G820" t="inlineStr">
        <is>
          <t>LJUNGBY</t>
        </is>
      </c>
      <c r="I820" t="n">
        <v>12.1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34926-2024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45527</v>
      </c>
      <c r="E821" s="1" t="n">
        <v>46225</v>
      </c>
      <c r="F821" t="inlineStr">
        <is>
          <t>KRONOBERGS LÄN</t>
        </is>
      </c>
      <c r="G821" t="inlineStr">
        <is>
          <t>LJUNGBY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7719-2024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45349</v>
      </c>
      <c r="E822" s="1" t="n">
        <v>46225</v>
      </c>
      <c r="F822" t="inlineStr">
        <is>
          <t>KRONOBERGS LÄN</t>
        </is>
      </c>
      <c r="G822" t="inlineStr">
        <is>
          <t>LJUNGBY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25616-2023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45089</v>
      </c>
      <c r="E823" s="1" t="n">
        <v>46225</v>
      </c>
      <c r="F823" t="inlineStr">
        <is>
          <t>KRONOBERGS LÄN</t>
        </is>
      </c>
      <c r="G823" t="inlineStr">
        <is>
          <t>LJUNGBY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12406-2023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44999</v>
      </c>
      <c r="E824" s="1" t="n">
        <v>46225</v>
      </c>
      <c r="F824" t="inlineStr">
        <is>
          <t>KRONOBERGS LÄN</t>
        </is>
      </c>
      <c r="G824" t="inlineStr">
        <is>
          <t>LJUNGBY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57390-2024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45629</v>
      </c>
      <c r="E825" s="1" t="n">
        <v>46225</v>
      </c>
      <c r="F825" t="inlineStr">
        <is>
          <t>KRONOBERGS LÄN</t>
        </is>
      </c>
      <c r="G825" t="inlineStr">
        <is>
          <t>LJUNGBY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20284-2023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45056</v>
      </c>
      <c r="E826" s="1" t="n">
        <v>46225</v>
      </c>
      <c r="F826" t="inlineStr">
        <is>
          <t>KRONOBERGS LÄN</t>
        </is>
      </c>
      <c r="G826" t="inlineStr">
        <is>
          <t>LJUNGBY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44276-2023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45188</v>
      </c>
      <c r="E827" s="1" t="n">
        <v>46225</v>
      </c>
      <c r="F827" t="inlineStr">
        <is>
          <t>KRONOBERGS LÄN</t>
        </is>
      </c>
      <c r="G827" t="inlineStr">
        <is>
          <t>LJUNGBY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52711-2024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45610</v>
      </c>
      <c r="E828" s="1" t="n">
        <v>46225</v>
      </c>
      <c r="F828" t="inlineStr">
        <is>
          <t>KRONOBERGS LÄN</t>
        </is>
      </c>
      <c r="G828" t="inlineStr">
        <is>
          <t>LJUNGBY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59544-2024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45637</v>
      </c>
      <c r="E829" s="1" t="n">
        <v>46225</v>
      </c>
      <c r="F829" t="inlineStr">
        <is>
          <t>KRONOBERGS LÄN</t>
        </is>
      </c>
      <c r="G829" t="inlineStr">
        <is>
          <t>LJUNGBY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10189-2025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45719</v>
      </c>
      <c r="E830" s="1" t="n">
        <v>46225</v>
      </c>
      <c r="F830" t="inlineStr">
        <is>
          <t>KRONOBERGS LÄN</t>
        </is>
      </c>
      <c r="G830" t="inlineStr">
        <is>
          <t>LJUNGBY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24687-2023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45084</v>
      </c>
      <c r="E831" s="1" t="n">
        <v>46225</v>
      </c>
      <c r="F831" t="inlineStr">
        <is>
          <t>KRONOBERGS LÄN</t>
        </is>
      </c>
      <c r="G831" t="inlineStr">
        <is>
          <t>LJUNGBY</t>
        </is>
      </c>
      <c r="I831" t="n">
        <v>4.9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53405-2024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45614</v>
      </c>
      <c r="E832" s="1" t="n">
        <v>46225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50314-2023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45216</v>
      </c>
      <c r="E833" s="1" t="n">
        <v>46225</v>
      </c>
      <c r="F833" t="inlineStr">
        <is>
          <t>KRONOBERGS LÄN</t>
        </is>
      </c>
      <c r="G833" t="inlineStr">
        <is>
          <t>LJUNGBY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7107-2022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44603</v>
      </c>
      <c r="E834" s="1" t="n">
        <v>46225</v>
      </c>
      <c r="F834" t="inlineStr">
        <is>
          <t>KRONOBERGS LÄN</t>
        </is>
      </c>
      <c r="G834" t="inlineStr">
        <is>
          <t>LJUNGBY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7113-2022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44603</v>
      </c>
      <c r="E835" s="1" t="n">
        <v>46225</v>
      </c>
      <c r="F835" t="inlineStr">
        <is>
          <t>KRONOBERGS LÄN</t>
        </is>
      </c>
      <c r="G835" t="inlineStr">
        <is>
          <t>LJUNGBY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7114-2022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44603</v>
      </c>
      <c r="E836" s="1" t="n">
        <v>46225</v>
      </c>
      <c r="F836" t="inlineStr">
        <is>
          <t>KRONOBERGS LÄN</t>
        </is>
      </c>
      <c r="G836" t="inlineStr">
        <is>
          <t>LJUNGBY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7374-2024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45345</v>
      </c>
      <c r="E837" s="1" t="n">
        <v>46225</v>
      </c>
      <c r="F837" t="inlineStr">
        <is>
          <t>KRONOBERGS LÄN</t>
        </is>
      </c>
      <c r="G837" t="inlineStr">
        <is>
          <t>LJUNGBY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3074-2022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44582</v>
      </c>
      <c r="E838" s="1" t="n">
        <v>46225</v>
      </c>
      <c r="F838" t="inlineStr">
        <is>
          <t>KRONOBERGS LÄN</t>
        </is>
      </c>
      <c r="G838" t="inlineStr">
        <is>
          <t>LJUNGBY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10675-2023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44988</v>
      </c>
      <c r="E839" s="1" t="n">
        <v>46225</v>
      </c>
      <c r="F839" t="inlineStr">
        <is>
          <t>KRONOBERGS LÄN</t>
        </is>
      </c>
      <c r="G839" t="inlineStr">
        <is>
          <t>LJUNGBY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18911-2024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45427</v>
      </c>
      <c r="E840" s="1" t="n">
        <v>46225</v>
      </c>
      <c r="F840" t="inlineStr">
        <is>
          <t>KRONOBERGS LÄN</t>
        </is>
      </c>
      <c r="G840" t="inlineStr">
        <is>
          <t>LJUNGBY</t>
        </is>
      </c>
      <c r="I840" t="n">
        <v>9.6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42592-2023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45176</v>
      </c>
      <c r="E841" s="1" t="n">
        <v>46225</v>
      </c>
      <c r="F841" t="inlineStr">
        <is>
          <t>KRONOBERGS LÄN</t>
        </is>
      </c>
      <c r="G841" t="inlineStr">
        <is>
          <t>LJUNGBY</t>
        </is>
      </c>
      <c r="H841" t="inlineStr">
        <is>
          <t>Kyrkan</t>
        </is>
      </c>
      <c r="I841" t="n">
        <v>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43343-2023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45183</v>
      </c>
      <c r="E842" s="1" t="n">
        <v>46225</v>
      </c>
      <c r="F842" t="inlineStr">
        <is>
          <t>KRONOBERGS LÄN</t>
        </is>
      </c>
      <c r="G842" t="inlineStr">
        <is>
          <t>LJUNGBY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24399-2023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45082</v>
      </c>
      <c r="E843" s="1" t="n">
        <v>46225</v>
      </c>
      <c r="F843" t="inlineStr">
        <is>
          <t>KRONOBERGS LÄN</t>
        </is>
      </c>
      <c r="G843" t="inlineStr">
        <is>
          <t>LJUNGBY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19143-2025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45769</v>
      </c>
      <c r="E844" s="1" t="n">
        <v>46225</v>
      </c>
      <c r="F844" t="inlineStr">
        <is>
          <t>KRONOBERGS LÄN</t>
        </is>
      </c>
      <c r="G844" t="inlineStr">
        <is>
          <t>LJUNGBY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12939-2022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44642</v>
      </c>
      <c r="E845" s="1" t="n">
        <v>46225</v>
      </c>
      <c r="F845" t="inlineStr">
        <is>
          <t>KRONOBERGS LÄN</t>
        </is>
      </c>
      <c r="G845" t="inlineStr">
        <is>
          <t>LJUNGBY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56818-2024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45628</v>
      </c>
      <c r="E846" s="1" t="n">
        <v>46225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11784-2022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44634</v>
      </c>
      <c r="E847" s="1" t="n">
        <v>46225</v>
      </c>
      <c r="F847" t="inlineStr">
        <is>
          <t>KRONOBERGS LÄN</t>
        </is>
      </c>
      <c r="G847" t="inlineStr">
        <is>
          <t>LJUNGBY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53789-2024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45615</v>
      </c>
      <c r="E848" s="1" t="n">
        <v>46225</v>
      </c>
      <c r="F848" t="inlineStr">
        <is>
          <t>KRONOBERGS LÄN</t>
        </is>
      </c>
      <c r="G848" t="inlineStr">
        <is>
          <t>LJUNGBY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56774-2024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45628</v>
      </c>
      <c r="E849" s="1" t="n">
        <v>46225</v>
      </c>
      <c r="F849" t="inlineStr">
        <is>
          <t>KRONOBERGS LÄN</t>
        </is>
      </c>
      <c r="G849" t="inlineStr">
        <is>
          <t>LJUNGBY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22153-2023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45069</v>
      </c>
      <c r="E850" s="1" t="n">
        <v>46225</v>
      </c>
      <c r="F850" t="inlineStr">
        <is>
          <t>KRONOBERGS LÄN</t>
        </is>
      </c>
      <c r="G850" t="inlineStr">
        <is>
          <t>LJUNGBY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9629-2022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44617</v>
      </c>
      <c r="E851" s="1" t="n">
        <v>46225</v>
      </c>
      <c r="F851" t="inlineStr">
        <is>
          <t>KRONOBERGS LÄN</t>
        </is>
      </c>
      <c r="G851" t="inlineStr">
        <is>
          <t>LJUNGBY</t>
        </is>
      </c>
      <c r="H851" t="inlineStr">
        <is>
          <t>Kyrkan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2693-2025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45677</v>
      </c>
      <c r="E852" s="1" t="n">
        <v>46225</v>
      </c>
      <c r="F852" t="inlineStr">
        <is>
          <t>KRONOBERGS LÄN</t>
        </is>
      </c>
      <c r="G852" t="inlineStr">
        <is>
          <t>LJUNGBY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56205-2023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45240</v>
      </c>
      <c r="E853" s="1" t="n">
        <v>46225</v>
      </c>
      <c r="F853" t="inlineStr">
        <is>
          <t>KRONOBERGS LÄN</t>
        </is>
      </c>
      <c r="G853" t="inlineStr">
        <is>
          <t>LJUNGBY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42190-2023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45179</v>
      </c>
      <c r="E854" s="1" t="n">
        <v>46225</v>
      </c>
      <c r="F854" t="inlineStr">
        <is>
          <t>KRONOBERGS LÄN</t>
        </is>
      </c>
      <c r="G854" t="inlineStr">
        <is>
          <t>LJUNGBY</t>
        </is>
      </c>
      <c r="I854" t="n">
        <v>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23654-2022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44721</v>
      </c>
      <c r="E855" s="1" t="n">
        <v>46225</v>
      </c>
      <c r="F855" t="inlineStr">
        <is>
          <t>KRONOBERGS LÄN</t>
        </is>
      </c>
      <c r="G855" t="inlineStr">
        <is>
          <t>LJUNGBY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46869-2022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44851</v>
      </c>
      <c r="E856" s="1" t="n">
        <v>46225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4464-2025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45686</v>
      </c>
      <c r="E857" s="1" t="n">
        <v>46225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7103-2025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45701</v>
      </c>
      <c r="E858" s="1" t="n">
        <v>46225</v>
      </c>
      <c r="F858" t="inlineStr">
        <is>
          <t>KRONOBERGS LÄN</t>
        </is>
      </c>
      <c r="G858" t="inlineStr">
        <is>
          <t>LJUNGBY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6695-2025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45700</v>
      </c>
      <c r="E859" s="1" t="n">
        <v>46225</v>
      </c>
      <c r="F859" t="inlineStr">
        <is>
          <t>KRONOBERGS LÄN</t>
        </is>
      </c>
      <c r="G859" t="inlineStr">
        <is>
          <t>LJUNGBY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10997-2022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44628</v>
      </c>
      <c r="E860" s="1" t="n">
        <v>46225</v>
      </c>
      <c r="F860" t="inlineStr">
        <is>
          <t>KRONOBERGS LÄN</t>
        </is>
      </c>
      <c r="G860" t="inlineStr">
        <is>
          <t>LJUNGBY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22383-2024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45446</v>
      </c>
      <c r="E861" s="1" t="n">
        <v>46225</v>
      </c>
      <c r="F861" t="inlineStr">
        <is>
          <t>KRONOBERGS LÄN</t>
        </is>
      </c>
      <c r="G861" t="inlineStr">
        <is>
          <t>LJUNGBY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42615-2023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45181</v>
      </c>
      <c r="E862" s="1" t="n">
        <v>46225</v>
      </c>
      <c r="F862" t="inlineStr">
        <is>
          <t>KRONOBERGS LÄN</t>
        </is>
      </c>
      <c r="G862" t="inlineStr">
        <is>
          <t>LJUNGBY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46864-2022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44851</v>
      </c>
      <c r="E863" s="1" t="n">
        <v>46225</v>
      </c>
      <c r="F863" t="inlineStr">
        <is>
          <t>KRONOBERGS LÄN</t>
        </is>
      </c>
      <c r="G863" t="inlineStr">
        <is>
          <t>LJUNGBY</t>
        </is>
      </c>
      <c r="H863" t="inlineStr">
        <is>
          <t>Sveaskog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45918-2023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45195</v>
      </c>
      <c r="E864" s="1" t="n">
        <v>46225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38736-2023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45163</v>
      </c>
      <c r="E865" s="1" t="n">
        <v>46225</v>
      </c>
      <c r="F865" t="inlineStr">
        <is>
          <t>KRONOBERGS LÄN</t>
        </is>
      </c>
      <c r="G865" t="inlineStr">
        <is>
          <t>LJUNGBY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21724-2022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44706</v>
      </c>
      <c r="E866" s="1" t="n">
        <v>46225</v>
      </c>
      <c r="F866" t="inlineStr">
        <is>
          <t>KRONOBERGS LÄN</t>
        </is>
      </c>
      <c r="G866" t="inlineStr">
        <is>
          <t>LJUNGBY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33105-2023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45126</v>
      </c>
      <c r="E867" s="1" t="n">
        <v>46225</v>
      </c>
      <c r="F867" t="inlineStr">
        <is>
          <t>KRONOBERGS LÄN</t>
        </is>
      </c>
      <c r="G867" t="inlineStr">
        <is>
          <t>LJUNGBY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43844-2023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45187</v>
      </c>
      <c r="E868" s="1" t="n">
        <v>46225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29224-2022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44750</v>
      </c>
      <c r="E869" s="1" t="n">
        <v>46225</v>
      </c>
      <c r="F869" t="inlineStr">
        <is>
          <t>KRONOBERGS LÄN</t>
        </is>
      </c>
      <c r="G869" t="inlineStr">
        <is>
          <t>LJUNGBY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46181-2024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45581</v>
      </c>
      <c r="E870" s="1" t="n">
        <v>46225</v>
      </c>
      <c r="F870" t="inlineStr">
        <is>
          <t>KRONOBERGS LÄN</t>
        </is>
      </c>
      <c r="G870" t="inlineStr">
        <is>
          <t>LJUNGBY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52516-2023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45225</v>
      </c>
      <c r="E871" s="1" t="n">
        <v>46225</v>
      </c>
      <c r="F871" t="inlineStr">
        <is>
          <t>KRONOBERGS LÄN</t>
        </is>
      </c>
      <c r="G871" t="inlineStr">
        <is>
          <t>LJUNGBY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33500-2023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45131</v>
      </c>
      <c r="E872" s="1" t="n">
        <v>46225</v>
      </c>
      <c r="F872" t="inlineStr">
        <is>
          <t>KRONOBERGS LÄN</t>
        </is>
      </c>
      <c r="G872" t="inlineStr">
        <is>
          <t>LJUNGBY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48495-2023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45207</v>
      </c>
      <c r="E873" s="1" t="n">
        <v>46225</v>
      </c>
      <c r="F873" t="inlineStr">
        <is>
          <t>KRONOBERGS LÄN</t>
        </is>
      </c>
      <c r="G873" t="inlineStr">
        <is>
          <t>LJUNGBY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17146-2025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45756</v>
      </c>
      <c r="E874" s="1" t="n">
        <v>46225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53865-2023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45231</v>
      </c>
      <c r="E875" s="1" t="n">
        <v>46225</v>
      </c>
      <c r="F875" t="inlineStr">
        <is>
          <t>KRONOBERGS LÄN</t>
        </is>
      </c>
      <c r="G875" t="inlineStr">
        <is>
          <t>LJUNGBY</t>
        </is>
      </c>
      <c r="I875" t="n">
        <v>6.6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61420-2023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45264</v>
      </c>
      <c r="E876" s="1" t="n">
        <v>46225</v>
      </c>
      <c r="F876" t="inlineStr">
        <is>
          <t>KRONOBERGS LÄN</t>
        </is>
      </c>
      <c r="G876" t="inlineStr">
        <is>
          <t>LJUNGBY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15774-2025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45748</v>
      </c>
      <c r="E877" s="1" t="n">
        <v>46225</v>
      </c>
      <c r="F877" t="inlineStr">
        <is>
          <t>KRONOBERGS LÄN</t>
        </is>
      </c>
      <c r="G877" t="inlineStr">
        <is>
          <t>LJUNGBY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40966-2022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44825</v>
      </c>
      <c r="E878" s="1" t="n">
        <v>46225</v>
      </c>
      <c r="F878" t="inlineStr">
        <is>
          <t>KRONOBERGS LÄN</t>
        </is>
      </c>
      <c r="G878" t="inlineStr">
        <is>
          <t>LJUNGBY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2960-2024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45315</v>
      </c>
      <c r="E879" s="1" t="n">
        <v>46225</v>
      </c>
      <c r="F879" t="inlineStr">
        <is>
          <t>KRONOBERGS LÄN</t>
        </is>
      </c>
      <c r="G879" t="inlineStr">
        <is>
          <t>LJUNGBY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50030-2023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45215</v>
      </c>
      <c r="E880" s="1" t="n">
        <v>46225</v>
      </c>
      <c r="F880" t="inlineStr">
        <is>
          <t>KRONOBERGS LÄN</t>
        </is>
      </c>
      <c r="G880" t="inlineStr">
        <is>
          <t>LJUNGBY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4761-2024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45328</v>
      </c>
      <c r="E881" s="1" t="n">
        <v>46225</v>
      </c>
      <c r="F881" t="inlineStr">
        <is>
          <t>KRONOBERGS LÄN</t>
        </is>
      </c>
      <c r="G881" t="inlineStr">
        <is>
          <t>LJUNGBY</t>
        </is>
      </c>
      <c r="I881" t="n">
        <v>51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52627-2023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45225</v>
      </c>
      <c r="E882" s="1" t="n">
        <v>46225</v>
      </c>
      <c r="F882" t="inlineStr">
        <is>
          <t>KRONOBERGS LÄN</t>
        </is>
      </c>
      <c r="G882" t="inlineStr">
        <is>
          <t>LJUNGBY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59857-2023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45257</v>
      </c>
      <c r="E883" s="1" t="n">
        <v>46225</v>
      </c>
      <c r="F883" t="inlineStr">
        <is>
          <t>KRONOBERGS LÄN</t>
        </is>
      </c>
      <c r="G883" t="inlineStr">
        <is>
          <t>LJUNGBY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38544-2023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45162</v>
      </c>
      <c r="E884" s="1" t="n">
        <v>46225</v>
      </c>
      <c r="F884" t="inlineStr">
        <is>
          <t>KRONOBERGS LÄN</t>
        </is>
      </c>
      <c r="G884" t="inlineStr">
        <is>
          <t>LJUNGBY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10755-2023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44988</v>
      </c>
      <c r="E885" s="1" t="n">
        <v>46225</v>
      </c>
      <c r="F885" t="inlineStr">
        <is>
          <t>KRONOBERGS LÄN</t>
        </is>
      </c>
      <c r="G885" t="inlineStr">
        <is>
          <t>LJUNGBY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8835-2024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45356</v>
      </c>
      <c r="E886" s="1" t="n">
        <v>46225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51096-2023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45218</v>
      </c>
      <c r="E887" s="1" t="n">
        <v>46225</v>
      </c>
      <c r="F887" t="inlineStr">
        <is>
          <t>KRONOBERGS LÄN</t>
        </is>
      </c>
      <c r="G887" t="inlineStr">
        <is>
          <t>LJUNGBY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45919-2023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45195</v>
      </c>
      <c r="E888" s="1" t="n">
        <v>46225</v>
      </c>
      <c r="F888" t="inlineStr">
        <is>
          <t>KRONOBERGS LÄN</t>
        </is>
      </c>
      <c r="G888" t="inlineStr">
        <is>
          <t>LJUNGBY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59688-2022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44908</v>
      </c>
      <c r="E889" s="1" t="n">
        <v>46225</v>
      </c>
      <c r="F889" t="inlineStr">
        <is>
          <t>KRONOBERGS LÄN</t>
        </is>
      </c>
      <c r="G889" t="inlineStr">
        <is>
          <t>LJUNGBY</t>
        </is>
      </c>
      <c r="H889" t="inlineStr">
        <is>
          <t>Sveaskog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48414-2022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44858</v>
      </c>
      <c r="E890" s="1" t="n">
        <v>46225</v>
      </c>
      <c r="F890" t="inlineStr">
        <is>
          <t>KRONOBERGS LÄN</t>
        </is>
      </c>
      <c r="G890" t="inlineStr">
        <is>
          <t>LJUNGBY</t>
        </is>
      </c>
      <c r="I890" t="n">
        <v>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47243-2022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44852</v>
      </c>
      <c r="E891" s="1" t="n">
        <v>46225</v>
      </c>
      <c r="F891" t="inlineStr">
        <is>
          <t>KRONOBERGS LÄN</t>
        </is>
      </c>
      <c r="G891" t="inlineStr">
        <is>
          <t>LJUNGBY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64354-2023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45280</v>
      </c>
      <c r="E892" s="1" t="n">
        <v>46225</v>
      </c>
      <c r="F892" t="inlineStr">
        <is>
          <t>KRONOBERGS LÄN</t>
        </is>
      </c>
      <c r="G892" t="inlineStr">
        <is>
          <t>LJUNGBY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64052-2023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45279</v>
      </c>
      <c r="E893" s="1" t="n">
        <v>46225</v>
      </c>
      <c r="F893" t="inlineStr">
        <is>
          <t>KRONOBERGS LÄN</t>
        </is>
      </c>
      <c r="G893" t="inlineStr">
        <is>
          <t>LJUNGBY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61422-2023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45264</v>
      </c>
      <c r="E894" s="1" t="n">
        <v>46225</v>
      </c>
      <c r="F894" t="inlineStr">
        <is>
          <t>KRONOBERGS LÄN</t>
        </is>
      </c>
      <c r="G894" t="inlineStr">
        <is>
          <t>LJUNGBY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28322-2023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45099</v>
      </c>
      <c r="E895" s="1" t="n">
        <v>46225</v>
      </c>
      <c r="F895" t="inlineStr">
        <is>
          <t>KRONOBERGS LÄN</t>
        </is>
      </c>
      <c r="G895" t="inlineStr">
        <is>
          <t>LJUNGBY</t>
        </is>
      </c>
      <c r="I895" t="n">
        <v>5.3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52618-2023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45225</v>
      </c>
      <c r="E896" s="1" t="n">
        <v>46225</v>
      </c>
      <c r="F896" t="inlineStr">
        <is>
          <t>KRONOBERGS LÄN</t>
        </is>
      </c>
      <c r="G896" t="inlineStr">
        <is>
          <t>LJUNGBY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51495-2024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45604</v>
      </c>
      <c r="E897" s="1" t="n">
        <v>46225</v>
      </c>
      <c r="F897" t="inlineStr">
        <is>
          <t>KRONOBERGS LÄN</t>
        </is>
      </c>
      <c r="G897" t="inlineStr">
        <is>
          <t>LJUNGBY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13132-2025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45734</v>
      </c>
      <c r="E898" s="1" t="n">
        <v>46225</v>
      </c>
      <c r="F898" t="inlineStr">
        <is>
          <t>KRONOBERGS LÄN</t>
        </is>
      </c>
      <c r="G898" t="inlineStr">
        <is>
          <t>LJUNGBY</t>
        </is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14230-2022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44651</v>
      </c>
      <c r="E899" s="1" t="n">
        <v>46225</v>
      </c>
      <c r="F899" t="inlineStr">
        <is>
          <t>KRONOBERGS LÄN</t>
        </is>
      </c>
      <c r="G899" t="inlineStr">
        <is>
          <t>LJUNGBY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9825-2022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44620</v>
      </c>
      <c r="E900" s="1" t="n">
        <v>46225</v>
      </c>
      <c r="F900" t="inlineStr">
        <is>
          <t>KRONOBERGS LÄN</t>
        </is>
      </c>
      <c r="G900" t="inlineStr">
        <is>
          <t>LJUNGBY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56385-2022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44887</v>
      </c>
      <c r="E901" s="1" t="n">
        <v>46225</v>
      </c>
      <c r="F901" t="inlineStr">
        <is>
          <t>KRONOBERGS LÄN</t>
        </is>
      </c>
      <c r="G901" t="inlineStr">
        <is>
          <t>LJUNGBY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1720-2023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44938</v>
      </c>
      <c r="E902" s="1" t="n">
        <v>46225</v>
      </c>
      <c r="F902" t="inlineStr">
        <is>
          <t>KRONOBERGS LÄN</t>
        </is>
      </c>
      <c r="G902" t="inlineStr">
        <is>
          <t>LJUNGBY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8225-2023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44974</v>
      </c>
      <c r="E903" s="1" t="n">
        <v>46225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5363-2023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44959</v>
      </c>
      <c r="E904" s="1" t="n">
        <v>46225</v>
      </c>
      <c r="F904" t="inlineStr">
        <is>
          <t>KRONOBERGS LÄN</t>
        </is>
      </c>
      <c r="G904" t="inlineStr">
        <is>
          <t>LJUNGBY</t>
        </is>
      </c>
      <c r="H904" t="inlineStr">
        <is>
          <t>Sveaskog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5401-2023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44959</v>
      </c>
      <c r="E905" s="1" t="n">
        <v>46225</v>
      </c>
      <c r="F905" t="inlineStr">
        <is>
          <t>KRONOBERGS LÄN</t>
        </is>
      </c>
      <c r="G905" t="inlineStr">
        <is>
          <t>LJUNGBY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5405-2023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44959</v>
      </c>
      <c r="E906" s="1" t="n">
        <v>46225</v>
      </c>
      <c r="F906" t="inlineStr">
        <is>
          <t>KRONOBERGS LÄN</t>
        </is>
      </c>
      <c r="G906" t="inlineStr">
        <is>
          <t>LJUNGBY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38407-2022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44812</v>
      </c>
      <c r="E907" s="1" t="n">
        <v>46225</v>
      </c>
      <c r="F907" t="inlineStr">
        <is>
          <t>KRONOBERGS LÄN</t>
        </is>
      </c>
      <c r="G907" t="inlineStr">
        <is>
          <t>LJUNGBY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37648-2022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44810</v>
      </c>
      <c r="E908" s="1" t="n">
        <v>46225</v>
      </c>
      <c r="F908" t="inlineStr">
        <is>
          <t>KRONOBERGS LÄN</t>
        </is>
      </c>
      <c r="G908" t="inlineStr">
        <is>
          <t>LJUNGBY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44287-2023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45188</v>
      </c>
      <c r="E909" s="1" t="n">
        <v>46225</v>
      </c>
      <c r="F909" t="inlineStr">
        <is>
          <t>KRONOBERGS LÄN</t>
        </is>
      </c>
      <c r="G909" t="inlineStr">
        <is>
          <t>LJUNGBY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38611-2023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45162</v>
      </c>
      <c r="E910" s="1" t="n">
        <v>46225</v>
      </c>
      <c r="F910" t="inlineStr">
        <is>
          <t>KRONOBERGS LÄN</t>
        </is>
      </c>
      <c r="G910" t="inlineStr">
        <is>
          <t>LJUNGBY</t>
        </is>
      </c>
      <c r="H910" t="inlineStr">
        <is>
          <t>Sveaskog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62537-2022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44924</v>
      </c>
      <c r="E911" s="1" t="n">
        <v>46225</v>
      </c>
      <c r="F911" t="inlineStr">
        <is>
          <t>KRONOBERGS LÄN</t>
        </is>
      </c>
      <c r="G911" t="inlineStr">
        <is>
          <t>LJUNGBY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14943-2022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44657</v>
      </c>
      <c r="E912" s="1" t="n">
        <v>46225</v>
      </c>
      <c r="F912" t="inlineStr">
        <is>
          <t>KRONOBERGS LÄN</t>
        </is>
      </c>
      <c r="G912" t="inlineStr">
        <is>
          <t>LJUNGBY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50950-2023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45218</v>
      </c>
      <c r="E913" s="1" t="n">
        <v>46225</v>
      </c>
      <c r="F913" t="inlineStr">
        <is>
          <t>KRONOBERGS LÄN</t>
        </is>
      </c>
      <c r="G913" t="inlineStr">
        <is>
          <t>LJUNGBY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60600-2023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45260</v>
      </c>
      <c r="E914" s="1" t="n">
        <v>46225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37164-2022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44806</v>
      </c>
      <c r="E915" s="1" t="n">
        <v>46225</v>
      </c>
      <c r="F915" t="inlineStr">
        <is>
          <t>KRONOBERGS LÄN</t>
        </is>
      </c>
      <c r="G915" t="inlineStr">
        <is>
          <t>LJUNGBY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27540-2022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44742</v>
      </c>
      <c r="E916" s="1" t="n">
        <v>46225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8834-2024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45356</v>
      </c>
      <c r="E917" s="1" t="n">
        <v>46225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58010-2021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44487</v>
      </c>
      <c r="E918" s="1" t="n">
        <v>46225</v>
      </c>
      <c r="F918" t="inlineStr">
        <is>
          <t>KRONOBERGS LÄN</t>
        </is>
      </c>
      <c r="G918" t="inlineStr">
        <is>
          <t>LJUNGBY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42209-2024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45562</v>
      </c>
      <c r="E919" s="1" t="n">
        <v>46225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6.8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38641-2024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45546</v>
      </c>
      <c r="E920" s="1" t="n">
        <v>46225</v>
      </c>
      <c r="F920" t="inlineStr">
        <is>
          <t>KRONOBERGS LÄN</t>
        </is>
      </c>
      <c r="G920" t="inlineStr">
        <is>
          <t>LJUNGBY</t>
        </is>
      </c>
      <c r="H920" t="inlineStr">
        <is>
          <t>Sveaskog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51463-2024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45604</v>
      </c>
      <c r="E921" s="1" t="n">
        <v>46225</v>
      </c>
      <c r="F921" t="inlineStr">
        <is>
          <t>KRONOBERGS LÄN</t>
        </is>
      </c>
      <c r="G921" t="inlineStr">
        <is>
          <t>LJUNGBY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48682-2024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45593</v>
      </c>
      <c r="E922" s="1" t="n">
        <v>46225</v>
      </c>
      <c r="F922" t="inlineStr">
        <is>
          <t>KRONOBERGS LÄN</t>
        </is>
      </c>
      <c r="G922" t="inlineStr">
        <is>
          <t>LJUNGBY</t>
        </is>
      </c>
      <c r="H922" t="inlineStr">
        <is>
          <t>Sveaskog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52859-2023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45226</v>
      </c>
      <c r="E923" s="1" t="n">
        <v>46225</v>
      </c>
      <c r="F923" t="inlineStr">
        <is>
          <t>KRONOBERGS LÄN</t>
        </is>
      </c>
      <c r="G923" t="inlineStr">
        <is>
          <t>LJUNGBY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43320-2024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45568</v>
      </c>
      <c r="E924" s="1" t="n">
        <v>46225</v>
      </c>
      <c r="F924" t="inlineStr">
        <is>
          <t>KRONOBERGS LÄN</t>
        </is>
      </c>
      <c r="G924" t="inlineStr">
        <is>
          <t>LJUNGBY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27630-2023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45097</v>
      </c>
      <c r="E925" s="1" t="n">
        <v>46225</v>
      </c>
      <c r="F925" t="inlineStr">
        <is>
          <t>KRONOBERGS LÄN</t>
        </is>
      </c>
      <c r="G925" t="inlineStr">
        <is>
          <t>LJUNGBY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27533-2023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45097</v>
      </c>
      <c r="E926" s="1" t="n">
        <v>46225</v>
      </c>
      <c r="F926" t="inlineStr">
        <is>
          <t>KRONOBERGS LÄN</t>
        </is>
      </c>
      <c r="G926" t="inlineStr">
        <is>
          <t>LJUNGBY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24334-2023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45081</v>
      </c>
      <c r="E927" s="1" t="n">
        <v>46225</v>
      </c>
      <c r="F927" t="inlineStr">
        <is>
          <t>KRONOBERGS LÄN</t>
        </is>
      </c>
      <c r="G927" t="inlineStr">
        <is>
          <t>LJUNGBY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26858-2023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45093</v>
      </c>
      <c r="E928" s="1" t="n">
        <v>46225</v>
      </c>
      <c r="F928" t="inlineStr">
        <is>
          <t>KRONOBERGS LÄN</t>
        </is>
      </c>
      <c r="G928" t="inlineStr">
        <is>
          <t>LJUNGBY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1479-2024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45305</v>
      </c>
      <c r="E929" s="1" t="n">
        <v>46225</v>
      </c>
      <c r="F929" t="inlineStr">
        <is>
          <t>KRONOBERGS LÄN</t>
        </is>
      </c>
      <c r="G929" t="inlineStr">
        <is>
          <t>LJUNGBY</t>
        </is>
      </c>
      <c r="I929" t="n">
        <v>4.5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51710-2024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45607</v>
      </c>
      <c r="E930" s="1" t="n">
        <v>46225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27562-2023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45097</v>
      </c>
      <c r="E931" s="1" t="n">
        <v>46225</v>
      </c>
      <c r="F931" t="inlineStr">
        <is>
          <t>KRONOBERGS LÄN</t>
        </is>
      </c>
      <c r="G931" t="inlineStr">
        <is>
          <t>LJUNGBY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32509-2023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45121</v>
      </c>
      <c r="E932" s="1" t="n">
        <v>46225</v>
      </c>
      <c r="F932" t="inlineStr">
        <is>
          <t>KRONOBERGS LÄN</t>
        </is>
      </c>
      <c r="G932" t="inlineStr">
        <is>
          <t>LJUNGBY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9895-2023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44985</v>
      </c>
      <c r="E933" s="1" t="n">
        <v>46225</v>
      </c>
      <c r="F933" t="inlineStr">
        <is>
          <t>KRONOBERGS LÄN</t>
        </is>
      </c>
      <c r="G933" t="inlineStr">
        <is>
          <t>LJUNGBY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17627-2025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45757</v>
      </c>
      <c r="E934" s="1" t="n">
        <v>46225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7828-2024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45349</v>
      </c>
      <c r="E935" s="1" t="n">
        <v>46225</v>
      </c>
      <c r="F935" t="inlineStr">
        <is>
          <t>KRONOBERGS LÄN</t>
        </is>
      </c>
      <c r="G935" t="inlineStr">
        <is>
          <t>LJUNGBY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8798-2023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44978</v>
      </c>
      <c r="E936" s="1" t="n">
        <v>46225</v>
      </c>
      <c r="F936" t="inlineStr">
        <is>
          <t>KRONOBERGS LÄN</t>
        </is>
      </c>
      <c r="G936" t="inlineStr">
        <is>
          <t>LJUNGBY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5482-2023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44960</v>
      </c>
      <c r="E937" s="1" t="n">
        <v>46225</v>
      </c>
      <c r="F937" t="inlineStr">
        <is>
          <t>KRONOBERGS LÄN</t>
        </is>
      </c>
      <c r="G937" t="inlineStr">
        <is>
          <t>LJUNGBY</t>
        </is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22123-2022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44712</v>
      </c>
      <c r="E938" s="1" t="n">
        <v>46225</v>
      </c>
      <c r="F938" t="inlineStr">
        <is>
          <t>KRONOBERGS LÄN</t>
        </is>
      </c>
      <c r="G938" t="inlineStr">
        <is>
          <t>LJUNGBY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44929</v>
      </c>
      <c r="E939" s="1" t="n">
        <v>46225</v>
      </c>
      <c r="F939" t="inlineStr">
        <is>
          <t>KRONOBERGS LÄN</t>
        </is>
      </c>
      <c r="G939" t="inlineStr">
        <is>
          <t>LJUNGBY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64691-2023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45281</v>
      </c>
      <c r="E940" s="1" t="n">
        <v>46225</v>
      </c>
      <c r="F940" t="inlineStr">
        <is>
          <t>KRONOBERGS LÄN</t>
        </is>
      </c>
      <c r="G940" t="inlineStr">
        <is>
          <t>LJUNGBY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59250-2023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45253</v>
      </c>
      <c r="E941" s="1" t="n">
        <v>46225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16727-2025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45754</v>
      </c>
      <c r="E942" s="1" t="n">
        <v>46225</v>
      </c>
      <c r="F942" t="inlineStr">
        <is>
          <t>KRONOBERGS LÄN</t>
        </is>
      </c>
      <c r="G942" t="inlineStr">
        <is>
          <t>LJUNGBY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10844-2023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44991</v>
      </c>
      <c r="E943" s="1" t="n">
        <v>46225</v>
      </c>
      <c r="F943" t="inlineStr">
        <is>
          <t>KRONOBERGS LÄN</t>
        </is>
      </c>
      <c r="G943" t="inlineStr">
        <is>
          <t>LJUNGBY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7383-2023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44971</v>
      </c>
      <c r="E944" s="1" t="n">
        <v>46225</v>
      </c>
      <c r="F944" t="inlineStr">
        <is>
          <t>KRONOBERGS LÄN</t>
        </is>
      </c>
      <c r="G944" t="inlineStr">
        <is>
          <t>LJUNGBY</t>
        </is>
      </c>
      <c r="I944" t="n">
        <v>0.2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32664-2023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45111</v>
      </c>
      <c r="E945" s="1" t="n">
        <v>46225</v>
      </c>
      <c r="F945" t="inlineStr">
        <is>
          <t>KRONOBERGS LÄN</t>
        </is>
      </c>
      <c r="G945" t="inlineStr">
        <is>
          <t>LJUNGBY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42784-2023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45181</v>
      </c>
      <c r="E946" s="1" t="n">
        <v>46225</v>
      </c>
      <c r="F946" t="inlineStr">
        <is>
          <t>KRONOBERGS LÄN</t>
        </is>
      </c>
      <c r="G946" t="inlineStr">
        <is>
          <t>LJUNGBY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32079-2023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45119</v>
      </c>
      <c r="E947" s="1" t="n">
        <v>46225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51172-2022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44868</v>
      </c>
      <c r="E948" s="1" t="n">
        <v>46225</v>
      </c>
      <c r="F948" t="inlineStr">
        <is>
          <t>KRONOBERGS LÄN</t>
        </is>
      </c>
      <c r="G948" t="inlineStr">
        <is>
          <t>LJUNGBY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54454-2022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44882</v>
      </c>
      <c r="E949" s="1" t="n">
        <v>46225</v>
      </c>
      <c r="F949" t="inlineStr">
        <is>
          <t>KRONOBERGS LÄN</t>
        </is>
      </c>
      <c r="G949" t="inlineStr">
        <is>
          <t>LJUNGBY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44304-2023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45188</v>
      </c>
      <c r="E950" s="1" t="n">
        <v>46225</v>
      </c>
      <c r="F950" t="inlineStr">
        <is>
          <t>KRONOBERGS LÄN</t>
        </is>
      </c>
      <c r="G950" t="inlineStr">
        <is>
          <t>LJUNGBY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25439-2024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45463</v>
      </c>
      <c r="E951" s="1" t="n">
        <v>46225</v>
      </c>
      <c r="F951" t="inlineStr">
        <is>
          <t>KRONOBERGS LÄN</t>
        </is>
      </c>
      <c r="G951" t="inlineStr">
        <is>
          <t>LJUNGBY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50882-2024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45602</v>
      </c>
      <c r="E952" s="1" t="n">
        <v>46225</v>
      </c>
      <c r="F952" t="inlineStr">
        <is>
          <t>KRONOBERGS LÄN</t>
        </is>
      </c>
      <c r="G952" t="inlineStr">
        <is>
          <t>LJUNGBY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2088-2025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45672</v>
      </c>
      <c r="E953" s="1" t="n">
        <v>46225</v>
      </c>
      <c r="F953" t="inlineStr">
        <is>
          <t>KRONOBERGS LÄN</t>
        </is>
      </c>
      <c r="G953" t="inlineStr">
        <is>
          <t>LJUNGBY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39505-2024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45551</v>
      </c>
      <c r="E954" s="1" t="n">
        <v>46225</v>
      </c>
      <c r="F954" t="inlineStr">
        <is>
          <t>KRONOBERGS LÄN</t>
        </is>
      </c>
      <c r="G954" t="inlineStr">
        <is>
          <t>LJUNGBY</t>
        </is>
      </c>
      <c r="H954" t="inlineStr">
        <is>
          <t>Sveaskog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54682-2022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44883</v>
      </c>
      <c r="E955" s="1" t="n">
        <v>46225</v>
      </c>
      <c r="F955" t="inlineStr">
        <is>
          <t>KRONOBERGS LÄN</t>
        </is>
      </c>
      <c r="G955" t="inlineStr">
        <is>
          <t>LJUNGBY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53415-2024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45614</v>
      </c>
      <c r="E956" s="1" t="n">
        <v>46225</v>
      </c>
      <c r="F956" t="inlineStr">
        <is>
          <t>KRONOBERGS LÄN</t>
        </is>
      </c>
      <c r="G956" t="inlineStr">
        <is>
          <t>LJUNGBY</t>
        </is>
      </c>
      <c r="H956" t="inlineStr">
        <is>
          <t>Sveaskog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21863-2023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45068</v>
      </c>
      <c r="E957" s="1" t="n">
        <v>46225</v>
      </c>
      <c r="F957" t="inlineStr">
        <is>
          <t>KRONOBERGS LÄN</t>
        </is>
      </c>
      <c r="G957" t="inlineStr">
        <is>
          <t>LJUNGBY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15580-2024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45401</v>
      </c>
      <c r="E958" s="1" t="n">
        <v>46225</v>
      </c>
      <c r="F958" t="inlineStr">
        <is>
          <t>KRONOBERGS LÄN</t>
        </is>
      </c>
      <c r="G958" t="inlineStr">
        <is>
          <t>LJUNGBY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28676-2023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45103</v>
      </c>
      <c r="E959" s="1" t="n">
        <v>46225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40675-2023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45170</v>
      </c>
      <c r="E960" s="1" t="n">
        <v>46225</v>
      </c>
      <c r="F960" t="inlineStr">
        <is>
          <t>KRONOBERGS LÄN</t>
        </is>
      </c>
      <c r="G960" t="inlineStr">
        <is>
          <t>LJUNGBY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886-2024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45301</v>
      </c>
      <c r="E961" s="1" t="n">
        <v>46225</v>
      </c>
      <c r="F961" t="inlineStr">
        <is>
          <t>KRONOBERGS LÄN</t>
        </is>
      </c>
      <c r="G961" t="inlineStr">
        <is>
          <t>LJUNGBY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6812-2025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45700</v>
      </c>
      <c r="E962" s="1" t="n">
        <v>46225</v>
      </c>
      <c r="F962" t="inlineStr">
        <is>
          <t>KRONOBERGS LÄN</t>
        </is>
      </c>
      <c r="G962" t="inlineStr">
        <is>
          <t>LJUNGBY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21756-2023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45065</v>
      </c>
      <c r="E963" s="1" t="n">
        <v>46225</v>
      </c>
      <c r="F963" t="inlineStr">
        <is>
          <t>KRONOBERGS LÄN</t>
        </is>
      </c>
      <c r="G963" t="inlineStr">
        <is>
          <t>LJUNGBY</t>
        </is>
      </c>
      <c r="I963" t="n">
        <v>6.7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32685-2023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45121</v>
      </c>
      <c r="E964" s="1" t="n">
        <v>46225</v>
      </c>
      <c r="F964" t="inlineStr">
        <is>
          <t>KRONOBERGS LÄN</t>
        </is>
      </c>
      <c r="G964" t="inlineStr">
        <is>
          <t>LJUNGBY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53792-2024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45615</v>
      </c>
      <c r="E965" s="1" t="n">
        <v>46225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35488-2023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45146</v>
      </c>
      <c r="E966" s="1" t="n">
        <v>46225</v>
      </c>
      <c r="F966" t="inlineStr">
        <is>
          <t>KRONOBERGS LÄN</t>
        </is>
      </c>
      <c r="G966" t="inlineStr">
        <is>
          <t>LJUNGBY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58227-2024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45632</v>
      </c>
      <c r="E967" s="1" t="n">
        <v>46225</v>
      </c>
      <c r="F967" t="inlineStr">
        <is>
          <t>KRONOBERGS LÄN</t>
        </is>
      </c>
      <c r="G967" t="inlineStr">
        <is>
          <t>LJUNGBY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49302-2023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45210</v>
      </c>
      <c r="E968" s="1" t="n">
        <v>46225</v>
      </c>
      <c r="F968" t="inlineStr">
        <is>
          <t>KRONOBERGS LÄN</t>
        </is>
      </c>
      <c r="G968" t="inlineStr">
        <is>
          <t>LJUNGBY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51537-2024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45603</v>
      </c>
      <c r="E969" s="1" t="n">
        <v>46225</v>
      </c>
      <c r="F969" t="inlineStr">
        <is>
          <t>KRONOBERGS LÄN</t>
        </is>
      </c>
      <c r="G969" t="inlineStr">
        <is>
          <t>LJUNGBY</t>
        </is>
      </c>
      <c r="H969" t="inlineStr">
        <is>
          <t>Kyrkan</t>
        </is>
      </c>
      <c r="I969" t="n">
        <v>13.5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15847-2025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45748</v>
      </c>
      <c r="E970" s="1" t="n">
        <v>46225</v>
      </c>
      <c r="F970" t="inlineStr">
        <is>
          <t>KRONOBERGS LÄN</t>
        </is>
      </c>
      <c r="G970" t="inlineStr">
        <is>
          <t>LJUNGBY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42669-2023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45181</v>
      </c>
      <c r="E971" s="1" t="n">
        <v>46225</v>
      </c>
      <c r="F971" t="inlineStr">
        <is>
          <t>KRONOBERGS LÄN</t>
        </is>
      </c>
      <c r="G971" t="inlineStr">
        <is>
          <t>LJUNGBY</t>
        </is>
      </c>
      <c r="I971" t="n">
        <v>3.3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17037-2024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45412</v>
      </c>
      <c r="E972" s="1" t="n">
        <v>46225</v>
      </c>
      <c r="F972" t="inlineStr">
        <is>
          <t>KRONOBERGS LÄN</t>
        </is>
      </c>
      <c r="G972" t="inlineStr">
        <is>
          <t>LJUNGBY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42021-2024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45561</v>
      </c>
      <c r="E973" s="1" t="n">
        <v>46225</v>
      </c>
      <c r="F973" t="inlineStr">
        <is>
          <t>KRONOBERGS LÄN</t>
        </is>
      </c>
      <c r="G973" t="inlineStr">
        <is>
          <t>LJUNGBY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16983-2025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45755</v>
      </c>
      <c r="E974" s="1" t="n">
        <v>46225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11524-2023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44993</v>
      </c>
      <c r="E975" s="1" t="n">
        <v>46225</v>
      </c>
      <c r="F975" t="inlineStr">
        <is>
          <t>KRONOBERGS LÄN</t>
        </is>
      </c>
      <c r="G975" t="inlineStr">
        <is>
          <t>LJUNGBY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27540-2023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45097</v>
      </c>
      <c r="E976" s="1" t="n">
        <v>46225</v>
      </c>
      <c r="F976" t="inlineStr">
        <is>
          <t>KRONOBERGS LÄN</t>
        </is>
      </c>
      <c r="G976" t="inlineStr">
        <is>
          <t>LJUNGBY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51867-2023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45223</v>
      </c>
      <c r="E977" s="1" t="n">
        <v>46225</v>
      </c>
      <c r="F977" t="inlineStr">
        <is>
          <t>KRONOBERGS LÄN</t>
        </is>
      </c>
      <c r="G977" t="inlineStr">
        <is>
          <t>LJUNGBY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58214-2023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45250</v>
      </c>
      <c r="E978" s="1" t="n">
        <v>46225</v>
      </c>
      <c r="F978" t="inlineStr">
        <is>
          <t>KRONOBERGS LÄN</t>
        </is>
      </c>
      <c r="G978" t="inlineStr">
        <is>
          <t>LJUNGBY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58858-2022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44903</v>
      </c>
      <c r="E979" s="1" t="n">
        <v>46225</v>
      </c>
      <c r="F979" t="inlineStr">
        <is>
          <t>KRONOBERGS LÄN</t>
        </is>
      </c>
      <c r="G979" t="inlineStr">
        <is>
          <t>LJUNGBY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29590-2023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45106</v>
      </c>
      <c r="E980" s="1" t="n">
        <v>46225</v>
      </c>
      <c r="F980" t="inlineStr">
        <is>
          <t>KRONOBERGS LÄN</t>
        </is>
      </c>
      <c r="G980" t="inlineStr">
        <is>
          <t>LJUNGBY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38656-2024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45546</v>
      </c>
      <c r="E981" s="1" t="n">
        <v>46225</v>
      </c>
      <c r="F981" t="inlineStr">
        <is>
          <t>KRONOBERGS LÄN</t>
        </is>
      </c>
      <c r="G981" t="inlineStr">
        <is>
          <t>LJUNGBY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8503-2024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45355</v>
      </c>
      <c r="E982" s="1" t="n">
        <v>46225</v>
      </c>
      <c r="F982" t="inlineStr">
        <is>
          <t>KRONOBERGS LÄN</t>
        </is>
      </c>
      <c r="G982" t="inlineStr">
        <is>
          <t>LJUNGBY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2961-2024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45315</v>
      </c>
      <c r="E983" s="1" t="n">
        <v>46225</v>
      </c>
      <c r="F983" t="inlineStr">
        <is>
          <t>KRONOBERGS LÄN</t>
        </is>
      </c>
      <c r="G983" t="inlineStr">
        <is>
          <t>LJUNGBY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6493-2024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45339</v>
      </c>
      <c r="E984" s="1" t="n">
        <v>46225</v>
      </c>
      <c r="F984" t="inlineStr">
        <is>
          <t>KRONOBERGS LÄN</t>
        </is>
      </c>
      <c r="G984" t="inlineStr">
        <is>
          <t>LJUNGBY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52539-2021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44466</v>
      </c>
      <c r="E985" s="1" t="n">
        <v>46225</v>
      </c>
      <c r="F985" t="inlineStr">
        <is>
          <t>KRONOBERGS LÄN</t>
        </is>
      </c>
      <c r="G985" t="inlineStr">
        <is>
          <t>LJUNGBY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7491-2023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44971</v>
      </c>
      <c r="E986" s="1" t="n">
        <v>46225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11350-2025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45726</v>
      </c>
      <c r="E987" s="1" t="n">
        <v>46225</v>
      </c>
      <c r="F987" t="inlineStr">
        <is>
          <t>KRONOBERGS LÄN</t>
        </is>
      </c>
      <c r="G987" t="inlineStr">
        <is>
          <t>LJUNGBY</t>
        </is>
      </c>
      <c r="I987" t="n">
        <v>3.8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52661-2024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45610</v>
      </c>
      <c r="E988" s="1" t="n">
        <v>46225</v>
      </c>
      <c r="F988" t="inlineStr">
        <is>
          <t>KRONOBERGS LÄN</t>
        </is>
      </c>
      <c r="G988" t="inlineStr">
        <is>
          <t>LJUNGBY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64680-2023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45281</v>
      </c>
      <c r="E989" s="1" t="n">
        <v>46225</v>
      </c>
      <c r="F989" t="inlineStr">
        <is>
          <t>KRONOBERGS LÄN</t>
        </is>
      </c>
      <c r="G989" t="inlineStr">
        <is>
          <t>LJUNGBY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3850-2022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44587</v>
      </c>
      <c r="E990" s="1" t="n">
        <v>46225</v>
      </c>
      <c r="F990" t="inlineStr">
        <is>
          <t>KRONOBERGS LÄN</t>
        </is>
      </c>
      <c r="G990" t="inlineStr">
        <is>
          <t>LJUNGBY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64338-2023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45279</v>
      </c>
      <c r="E991" s="1" t="n">
        <v>46225</v>
      </c>
      <c r="F991" t="inlineStr">
        <is>
          <t>KRONOBERGS LÄN</t>
        </is>
      </c>
      <c r="G991" t="inlineStr">
        <is>
          <t>LJUNGBY</t>
        </is>
      </c>
      <c r="H991" t="inlineStr">
        <is>
          <t>Kyrkan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38976-2024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45548</v>
      </c>
      <c r="E992" s="1" t="n">
        <v>46225</v>
      </c>
      <c r="F992" t="inlineStr">
        <is>
          <t>KRONOBERGS LÄN</t>
        </is>
      </c>
      <c r="G992" t="inlineStr">
        <is>
          <t>LJUNGBY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52844-2024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45610</v>
      </c>
      <c r="E993" s="1" t="n">
        <v>46225</v>
      </c>
      <c r="F993" t="inlineStr">
        <is>
          <t>KRONOBERGS LÄN</t>
        </is>
      </c>
      <c r="G993" t="inlineStr">
        <is>
          <t>LJUNGBY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49084-2024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45594</v>
      </c>
      <c r="E994" s="1" t="n">
        <v>46225</v>
      </c>
      <c r="F994" t="inlineStr">
        <is>
          <t>KRONOBERGS LÄN</t>
        </is>
      </c>
      <c r="G994" t="inlineStr">
        <is>
          <t>LJUNGBY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23590-2023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45077</v>
      </c>
      <c r="E995" s="1" t="n">
        <v>46225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9336-2025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45714</v>
      </c>
      <c r="E996" s="1" t="n">
        <v>46225</v>
      </c>
      <c r="F996" t="inlineStr">
        <is>
          <t>KRONOBERGS LÄN</t>
        </is>
      </c>
      <c r="G996" t="inlineStr">
        <is>
          <t>LJUNGBY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23160-2023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45075</v>
      </c>
      <c r="E997" s="1" t="n">
        <v>46225</v>
      </c>
      <c r="F997" t="inlineStr">
        <is>
          <t>KRONOBERGS LÄN</t>
        </is>
      </c>
      <c r="G997" t="inlineStr">
        <is>
          <t>LJUNGBY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58781-2024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45635</v>
      </c>
      <c r="E998" s="1" t="n">
        <v>46225</v>
      </c>
      <c r="F998" t="inlineStr">
        <is>
          <t>KRONOBERGS LÄN</t>
        </is>
      </c>
      <c r="G998" t="inlineStr">
        <is>
          <t>LJUNGBY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10697-2025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45722</v>
      </c>
      <c r="E999" s="1" t="n">
        <v>46225</v>
      </c>
      <c r="F999" t="inlineStr">
        <is>
          <t>KRONOBERGS LÄN</t>
        </is>
      </c>
      <c r="G999" t="inlineStr">
        <is>
          <t>LJUNGBY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59778-2024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45639</v>
      </c>
      <c r="E1000" s="1" t="n">
        <v>46225</v>
      </c>
      <c r="F1000" t="inlineStr">
        <is>
          <t>KRONOBERGS LÄN</t>
        </is>
      </c>
      <c r="G1000" t="inlineStr">
        <is>
          <t>LJUNGBY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37320-2023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45156</v>
      </c>
      <c r="E1001" s="1" t="n">
        <v>46225</v>
      </c>
      <c r="F1001" t="inlineStr">
        <is>
          <t>KRONOBERGS LÄN</t>
        </is>
      </c>
      <c r="G1001" t="inlineStr">
        <is>
          <t>LJUNGBY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39091-2023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45164</v>
      </c>
      <c r="E1002" s="1" t="n">
        <v>46225</v>
      </c>
      <c r="F1002" t="inlineStr">
        <is>
          <t>KRONOBERGS LÄN</t>
        </is>
      </c>
      <c r="G1002" t="inlineStr">
        <is>
          <t>LJUNGBY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63354-2021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44508</v>
      </c>
      <c r="E1003" s="1" t="n">
        <v>46225</v>
      </c>
      <c r="F1003" t="inlineStr">
        <is>
          <t>KRONOBERGS LÄN</t>
        </is>
      </c>
      <c r="G1003" t="inlineStr">
        <is>
          <t>LJUNGBY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12513-2025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45730</v>
      </c>
      <c r="E1004" s="1" t="n">
        <v>46225</v>
      </c>
      <c r="F1004" t="inlineStr">
        <is>
          <t>KRONOBERGS LÄN</t>
        </is>
      </c>
      <c r="G1004" t="inlineStr">
        <is>
          <t>LJUNGBY</t>
        </is>
      </c>
      <c r="I1004" t="n">
        <v>3.2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21406-2024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45441</v>
      </c>
      <c r="E1005" s="1" t="n">
        <v>46225</v>
      </c>
      <c r="F1005" t="inlineStr">
        <is>
          <t>KRONOBERGS LÄN</t>
        </is>
      </c>
      <c r="G1005" t="inlineStr">
        <is>
          <t>LJUNGBY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42686-2023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45181</v>
      </c>
      <c r="E1006" s="1" t="n">
        <v>46225</v>
      </c>
      <c r="F1006" t="inlineStr">
        <is>
          <t>KRONOBERGS LÄN</t>
        </is>
      </c>
      <c r="G1006" t="inlineStr">
        <is>
          <t>LJUNGBY</t>
        </is>
      </c>
      <c r="I1006" t="n">
        <v>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57206-2024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45629</v>
      </c>
      <c r="E1007" s="1" t="n">
        <v>46225</v>
      </c>
      <c r="F1007" t="inlineStr">
        <is>
          <t>KRONOBERGS LÄN</t>
        </is>
      </c>
      <c r="G1007" t="inlineStr">
        <is>
          <t>LJUNGBY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36373-2024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45534</v>
      </c>
      <c r="E1008" s="1" t="n">
        <v>46225</v>
      </c>
      <c r="F1008" t="inlineStr">
        <is>
          <t>KRONOBERGS LÄN</t>
        </is>
      </c>
      <c r="G1008" t="inlineStr">
        <is>
          <t>LJUNGBY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8245-2025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45708</v>
      </c>
      <c r="E1009" s="1" t="n">
        <v>46225</v>
      </c>
      <c r="F1009" t="inlineStr">
        <is>
          <t>KRONOBERGS LÄN</t>
        </is>
      </c>
      <c r="G1009" t="inlineStr">
        <is>
          <t>LJUNGBY</t>
        </is>
      </c>
      <c r="I1009" t="n">
        <v>5.7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5368-2023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44959</v>
      </c>
      <c r="E1010" s="1" t="n">
        <v>46225</v>
      </c>
      <c r="F1010" t="inlineStr">
        <is>
          <t>KRONOBERGS LÄN</t>
        </is>
      </c>
      <c r="G1010" t="inlineStr">
        <is>
          <t>LJUNGBY</t>
        </is>
      </c>
      <c r="H1010" t="inlineStr">
        <is>
          <t>Sveaskog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21805-2025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46225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46225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21809-2025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46225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21813-2025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45783</v>
      </c>
      <c r="E1014" s="1" t="n">
        <v>46225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21816-2025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46225</v>
      </c>
      <c r="F1015" t="inlineStr">
        <is>
          <t>KRONOBERGS LÄN</t>
        </is>
      </c>
      <c r="G1015" t="inlineStr">
        <is>
          <t>LJUNGBY</t>
        </is>
      </c>
      <c r="I1015" t="n">
        <v>0.3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38148-2023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45161</v>
      </c>
      <c r="E1016" s="1" t="n">
        <v>46225</v>
      </c>
      <c r="F1016" t="inlineStr">
        <is>
          <t>KRONOBERGS LÄN</t>
        </is>
      </c>
      <c r="G1016" t="inlineStr">
        <is>
          <t>LJUNGBY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15673-2023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45021</v>
      </c>
      <c r="E1017" s="1" t="n">
        <v>46225</v>
      </c>
      <c r="F1017" t="inlineStr">
        <is>
          <t>KRONOBERGS LÄN</t>
        </is>
      </c>
      <c r="G1017" t="inlineStr">
        <is>
          <t>LJUNGBY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21819-2025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45783</v>
      </c>
      <c r="E1018" s="1" t="n">
        <v>46225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8251-2025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45708</v>
      </c>
      <c r="E1019" s="1" t="n">
        <v>46225</v>
      </c>
      <c r="F1019" t="inlineStr">
        <is>
          <t>KRONOBERGS LÄN</t>
        </is>
      </c>
      <c r="G1019" t="inlineStr">
        <is>
          <t>LJUNGBY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3782-2025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45681</v>
      </c>
      <c r="E1020" s="1" t="n">
        <v>46225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56799-2024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45628</v>
      </c>
      <c r="E1021" s="1" t="n">
        <v>46225</v>
      </c>
      <c r="F1021" t="inlineStr">
        <is>
          <t>KRONOBERGS LÄN</t>
        </is>
      </c>
      <c r="G1021" t="inlineStr">
        <is>
          <t>LJUNGBY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11356-2024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45372</v>
      </c>
      <c r="E1022" s="1" t="n">
        <v>46225</v>
      </c>
      <c r="F1022" t="inlineStr">
        <is>
          <t>KRONOBERGS LÄN</t>
        </is>
      </c>
      <c r="G1022" t="inlineStr">
        <is>
          <t>LJUNGBY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13020-2025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45734</v>
      </c>
      <c r="E1023" s="1" t="n">
        <v>46225</v>
      </c>
      <c r="F1023" t="inlineStr">
        <is>
          <t>KRONOBERGS LÄN</t>
        </is>
      </c>
      <c r="G1023" t="inlineStr">
        <is>
          <t>LJUNGBY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32044-2024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45510</v>
      </c>
      <c r="E1024" s="1" t="n">
        <v>46225</v>
      </c>
      <c r="F1024" t="inlineStr">
        <is>
          <t>KRONOBERGS LÄN</t>
        </is>
      </c>
      <c r="G1024" t="inlineStr">
        <is>
          <t>LJUNGBY</t>
        </is>
      </c>
      <c r="I1024" t="n">
        <v>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17145-2025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45756</v>
      </c>
      <c r="E1025" s="1" t="n">
        <v>46225</v>
      </c>
      <c r="F1025" t="inlineStr">
        <is>
          <t>KRONOBERGS LÄN</t>
        </is>
      </c>
      <c r="G1025" t="inlineStr">
        <is>
          <t>LJUNGBY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39359-2023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45166</v>
      </c>
      <c r="E1026" s="1" t="n">
        <v>46225</v>
      </c>
      <c r="F1026" t="inlineStr">
        <is>
          <t>KRONOBERGS LÄN</t>
        </is>
      </c>
      <c r="G1026" t="inlineStr">
        <is>
          <t>LJUNGBY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56877-2024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45628</v>
      </c>
      <c r="E1027" s="1" t="n">
        <v>46225</v>
      </c>
      <c r="F1027" t="inlineStr">
        <is>
          <t>KRONOBERGS LÄN</t>
        </is>
      </c>
      <c r="G1027" t="inlineStr">
        <is>
          <t>LJUNGBY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23398-2025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45792</v>
      </c>
      <c r="E1028" s="1" t="n">
        <v>46225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32042-2024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45510</v>
      </c>
      <c r="E1029" s="1" t="n">
        <v>46225</v>
      </c>
      <c r="F1029" t="inlineStr">
        <is>
          <t>KRONOBERGS LÄN</t>
        </is>
      </c>
      <c r="G1029" t="inlineStr">
        <is>
          <t>LJUNGBY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24089-2025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46225</v>
      </c>
      <c r="F1030" t="inlineStr">
        <is>
          <t>KRONOBERGS LÄN</t>
        </is>
      </c>
      <c r="G1030" t="inlineStr">
        <is>
          <t>LJUNGBY</t>
        </is>
      </c>
      <c r="H1030" t="inlineStr">
        <is>
          <t>Sveaskog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24108-2025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46225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5.9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49541-2024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45596</v>
      </c>
      <c r="E1032" s="1" t="n">
        <v>46225</v>
      </c>
      <c r="F1032" t="inlineStr">
        <is>
          <t>KRONOBERGS LÄN</t>
        </is>
      </c>
      <c r="G1032" t="inlineStr">
        <is>
          <t>LJUNGBY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23808-2025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45793</v>
      </c>
      <c r="E1033" s="1" t="n">
        <v>46225</v>
      </c>
      <c r="F1033" t="inlineStr">
        <is>
          <t>KRONOBERGS LÄN</t>
        </is>
      </c>
      <c r="G1033" t="inlineStr">
        <is>
          <t>LJUNGBY</t>
        </is>
      </c>
      <c r="I1033" t="n">
        <v>5.9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24084-2025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45796</v>
      </c>
      <c r="E1034" s="1" t="n">
        <v>46225</v>
      </c>
      <c r="F1034" t="inlineStr">
        <is>
          <t>KRONOBERGS LÄN</t>
        </is>
      </c>
      <c r="G1034" t="inlineStr">
        <is>
          <t>LJUNGBY</t>
        </is>
      </c>
      <c r="H1034" t="inlineStr">
        <is>
          <t>Sveaskog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24097-2025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45796</v>
      </c>
      <c r="E1035" s="1" t="n">
        <v>46225</v>
      </c>
      <c r="F1035" t="inlineStr">
        <is>
          <t>KRONOBERGS LÄN</t>
        </is>
      </c>
      <c r="G1035" t="inlineStr">
        <is>
          <t>LJUNGBY</t>
        </is>
      </c>
      <c r="H1035" t="inlineStr">
        <is>
          <t>Sveaskog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49609-2024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45596</v>
      </c>
      <c r="E1036" s="1" t="n">
        <v>46225</v>
      </c>
      <c r="F1036" t="inlineStr">
        <is>
          <t>KRONOBERGS LÄN</t>
        </is>
      </c>
      <c r="G1036" t="inlineStr">
        <is>
          <t>LJUNGBY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44927</v>
      </c>
      <c r="E1037" s="1" t="n">
        <v>46225</v>
      </c>
      <c r="F1037" t="inlineStr">
        <is>
          <t>KRONOBERGS LÄN</t>
        </is>
      </c>
      <c r="G1037" t="inlineStr">
        <is>
          <t>LJUNGBY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1523-2022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44638</v>
      </c>
      <c r="E1038" s="1" t="n">
        <v>46225</v>
      </c>
      <c r="F1038" t="inlineStr">
        <is>
          <t>KRONOBERGS LÄN</t>
        </is>
      </c>
      <c r="G1038" t="inlineStr">
        <is>
          <t>LJUNGBY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1600-2022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44644</v>
      </c>
      <c r="E1039" s="1" t="n">
        <v>46225</v>
      </c>
      <c r="F1039" t="inlineStr">
        <is>
          <t>KRONOBERGS LÄN</t>
        </is>
      </c>
      <c r="G1039" t="inlineStr">
        <is>
          <t>LJUNGBY</t>
        </is>
      </c>
      <c r="I1039" t="n">
        <v>49.2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46225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1583-2022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46225</v>
      </c>
      <c r="F1041" t="inlineStr">
        <is>
          <t>KRONOBERGS LÄN</t>
        </is>
      </c>
      <c r="G1041" t="inlineStr">
        <is>
          <t>LJUNGBY</t>
        </is>
      </c>
      <c r="I1041" t="n">
        <v>11.4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1772-2022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44655</v>
      </c>
      <c r="E1042" s="1" t="n">
        <v>46225</v>
      </c>
      <c r="F1042" t="inlineStr">
        <is>
          <t>KRONOBERGS LÄN</t>
        </is>
      </c>
      <c r="G1042" t="inlineStr">
        <is>
          <t>LJUNGBY</t>
        </is>
      </c>
      <c r="I1042" t="n">
        <v>28.9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1544-2022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44642</v>
      </c>
      <c r="E1043" s="1" t="n">
        <v>46225</v>
      </c>
      <c r="F1043" t="inlineStr">
        <is>
          <t>KRONOBERGS LÄN</t>
        </is>
      </c>
      <c r="G1043" t="inlineStr">
        <is>
          <t>LJUNGBY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2372-2023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45110</v>
      </c>
      <c r="E1044" s="1" t="n">
        <v>46225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5211-2022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46225</v>
      </c>
      <c r="F1045" t="inlineStr">
        <is>
          <t>KRONOBERGS LÄN</t>
        </is>
      </c>
      <c r="G1045" t="inlineStr">
        <is>
          <t>LJUNGBY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3418-2024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45537</v>
      </c>
      <c r="E1046" s="1" t="n">
        <v>46225</v>
      </c>
      <c r="F1046" t="inlineStr">
        <is>
          <t>KRONOBERGS LÄN</t>
        </is>
      </c>
      <c r="G1046" t="inlineStr">
        <is>
          <t>LJUNGBY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3836-2023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45226</v>
      </c>
      <c r="E1047" s="1" t="n">
        <v>46225</v>
      </c>
      <c r="F1047" t="inlineStr">
        <is>
          <t>KRONOBERGS LÄN</t>
        </is>
      </c>
      <c r="G1047" t="inlineStr">
        <is>
          <t>LJUNGBY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3278-2024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45527</v>
      </c>
      <c r="E1048" s="1" t="n">
        <v>46225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4450-2024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45593</v>
      </c>
      <c r="E1049" s="1" t="n">
        <v>46225</v>
      </c>
      <c r="F1049" t="inlineStr">
        <is>
          <t>KRONOBERGS LÄN</t>
        </is>
      </c>
      <c r="G1049" t="inlineStr">
        <is>
          <t>LJUNGBY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928-2023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45000</v>
      </c>
      <c r="E1050" s="1" t="n">
        <v>46225</v>
      </c>
      <c r="F1050" t="inlineStr">
        <is>
          <t>KRONOBERGS LÄN</t>
        </is>
      </c>
      <c r="G1050" t="inlineStr">
        <is>
          <t>LJUNGBY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5212-2022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44820</v>
      </c>
      <c r="E1051" s="1" t="n">
        <v>46225</v>
      </c>
      <c r="F1051" t="inlineStr">
        <is>
          <t>KRONOBERGS LÄN</t>
        </is>
      </c>
      <c r="G1051" t="inlineStr">
        <is>
          <t>LJUNGBY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1395-2024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45412</v>
      </c>
      <c r="E1052" s="1" t="n">
        <v>46225</v>
      </c>
      <c r="F1052" t="inlineStr">
        <is>
          <t>KRONOBERGS LÄN</t>
        </is>
      </c>
      <c r="G1052" t="inlineStr">
        <is>
          <t>LJUNGBY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4474-2023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45272</v>
      </c>
      <c r="E1053" s="1" t="n">
        <v>46225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2871-2023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45168</v>
      </c>
      <c r="E1054" s="1" t="n">
        <v>46225</v>
      </c>
      <c r="F1054" t="inlineStr">
        <is>
          <t>KRONOBERGS LÄN</t>
        </is>
      </c>
      <c r="G1054" t="inlineStr">
        <is>
          <t>LJUNGBY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943-2024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45378</v>
      </c>
      <c r="E1055" s="1" t="n">
        <v>46225</v>
      </c>
      <c r="F1055" t="inlineStr">
        <is>
          <t>KRONOBERGS LÄN</t>
        </is>
      </c>
      <c r="G1055" t="inlineStr">
        <is>
          <t>LJUNGBY</t>
        </is>
      </c>
      <c r="I1055" t="n">
        <v>24.5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3725-2024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45554</v>
      </c>
      <c r="E1056" s="1" t="n">
        <v>46225</v>
      </c>
      <c r="F1056" t="inlineStr">
        <is>
          <t>KRONOBERGS LÄN</t>
        </is>
      </c>
      <c r="G1056" t="inlineStr">
        <is>
          <t>LJUNGBY</t>
        </is>
      </c>
      <c r="I1056" t="n">
        <v>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7990-2021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44484</v>
      </c>
      <c r="E1057" s="1" t="n">
        <v>46225</v>
      </c>
      <c r="F1057" t="inlineStr">
        <is>
          <t>KRONOBERGS LÄN</t>
        </is>
      </c>
      <c r="G1057" t="inlineStr">
        <is>
          <t>LJUNGBY</t>
        </is>
      </c>
      <c r="I1057" t="n">
        <v>24.8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4103-2024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45574</v>
      </c>
      <c r="E1058" s="1" t="n">
        <v>46225</v>
      </c>
      <c r="F1058" t="inlineStr">
        <is>
          <t>KRONOBERGS LÄN</t>
        </is>
      </c>
      <c r="G1058" t="inlineStr">
        <is>
          <t>LJUNGBY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4818-2024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45615</v>
      </c>
      <c r="E1059" s="1" t="n">
        <v>46225</v>
      </c>
      <c r="F1059" t="inlineStr">
        <is>
          <t>KRONOBERGS LÄN</t>
        </is>
      </c>
      <c r="G1059" t="inlineStr">
        <is>
          <t>LJUNGBY</t>
        </is>
      </c>
      <c r="I1059" t="n">
        <v>58.1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3272-2024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45526</v>
      </c>
      <c r="E1060" s="1" t="n">
        <v>46225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4543-2024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45597</v>
      </c>
      <c r="E1061" s="1" t="n">
        <v>46225</v>
      </c>
      <c r="F1061" t="inlineStr">
        <is>
          <t>KRONOBERGS LÄN</t>
        </is>
      </c>
      <c r="G1061" t="inlineStr">
        <is>
          <t>LJUNGBY</t>
        </is>
      </c>
      <c r="I1061" t="n">
        <v>16.8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1299-2023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45033</v>
      </c>
      <c r="E1062" s="1" t="n">
        <v>46225</v>
      </c>
      <c r="F1062" t="inlineStr">
        <is>
          <t>KRONOBERGS LÄN</t>
        </is>
      </c>
      <c r="G1062" t="inlineStr">
        <is>
          <t>LJUNGBY</t>
        </is>
      </c>
      <c r="I1062" t="n">
        <v>14.7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3711-2024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45553</v>
      </c>
      <c r="E1063" s="1" t="n">
        <v>46225</v>
      </c>
      <c r="F1063" t="inlineStr">
        <is>
          <t>KRONOBERGS LÄN</t>
        </is>
      </c>
      <c r="G1063" t="inlineStr">
        <is>
          <t>LJUNGBY</t>
        </is>
      </c>
      <c r="I1063" t="n">
        <v>4.3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671-2024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45357</v>
      </c>
      <c r="E1064" s="1" t="n">
        <v>46225</v>
      </c>
      <c r="F1064" t="inlineStr">
        <is>
          <t>KRONOBERGS LÄN</t>
        </is>
      </c>
      <c r="G1064" t="inlineStr">
        <is>
          <t>LJUNGBY</t>
        </is>
      </c>
      <c r="I1064" t="n">
        <v>22.9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45427</v>
      </c>
      <c r="E1065" s="1" t="n">
        <v>46225</v>
      </c>
      <c r="F1065" t="inlineStr">
        <is>
          <t>KRONOBERGS LÄN</t>
        </is>
      </c>
      <c r="G1065" t="inlineStr">
        <is>
          <t>LJUNGBY</t>
        </is>
      </c>
      <c r="I1065" t="n">
        <v>12.3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46225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46225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46225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46225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46225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46225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46225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46225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46225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46225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46225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46225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46225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46225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46225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46225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46225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46225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46225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46225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46225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46225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46225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46225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46225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46225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46225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46225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46225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46225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46225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46024</v>
      </c>
      <c r="E1097" s="1" t="n">
        <v>46225</v>
      </c>
      <c r="F1097" t="inlineStr">
        <is>
          <t>KRONOBERGS LÄN</t>
        </is>
      </c>
      <c r="G1097" t="inlineStr">
        <is>
          <t>LJUNGBY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46225</v>
      </c>
      <c r="F1098" t="inlineStr">
        <is>
          <t>KRONOBERGS LÄN</t>
        </is>
      </c>
      <c r="G1098" t="inlineStr">
        <is>
          <t>LJUNGBY</t>
        </is>
      </c>
      <c r="I1098" t="n">
        <v>15.7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46027</v>
      </c>
      <c r="E1099" s="1" t="n">
        <v>46225</v>
      </c>
      <c r="F1099" t="inlineStr">
        <is>
          <t>KRONOBERGS LÄN</t>
        </is>
      </c>
      <c r="G1099" t="inlineStr">
        <is>
          <t>LJUNGBY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46225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330-2026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46062</v>
      </c>
      <c r="E1101" s="1" t="n">
        <v>46225</v>
      </c>
      <c r="F1101" t="inlineStr">
        <is>
          <t>KRONOBERGS LÄN</t>
        </is>
      </c>
      <c r="G1101" t="inlineStr">
        <is>
          <t>LJUNGBY</t>
        </is>
      </c>
      <c r="I1101" t="n">
        <v>27.9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46063</v>
      </c>
      <c r="E1102" s="1" t="n">
        <v>46225</v>
      </c>
      <c r="F1102" t="inlineStr">
        <is>
          <t>KRONOBERGS LÄN</t>
        </is>
      </c>
      <c r="G1102" t="inlineStr">
        <is>
          <t>LJUNGBY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46225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46225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46225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46225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46225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46225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46225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2026-07-22T01:34:43Z</dcterms:created>
  <dcterms:modified xmlns:dcterms="http://purl.org/dc/terms/" xmlns:xsi="http://www.w3.org/2001/XMLSchema-instance" xsi:type="dcterms:W3CDTF">2026-07-22T01:34:44Z</dcterms:modified>
</cp:coreProperties>
</file>