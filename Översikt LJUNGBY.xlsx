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46284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46284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1913-2025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45826</v>
      </c>
      <c r="E7" s="1" t="n">
        <v>46284</v>
      </c>
      <c r="F7" t="inlineStr">
        <is>
          <t>KRONOBERGS LÄN</t>
        </is>
      </c>
      <c r="G7" t="inlineStr">
        <is>
          <t>LJUNGBY</t>
        </is>
      </c>
      <c r="I7" t="n">
        <v>9.800000000000001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11</v>
      </c>
      <c r="U7" t="n">
        <v>1</v>
      </c>
      <c r="V7" s="2" t="inlineStr">
        <is>
          <t>Kandelabersvamp
Fällmossa
Guldlockmossa
Klippfrullania
Lindskål
Blåsippa</t>
        </is>
      </c>
      <c r="W7">
        <f>HYPERLINK("https://klasma.github.io/Logging_0781/artfynd/S 1913-2025 artfynd.xlsx", "S 1913-2025")</f>
        <v/>
      </c>
      <c r="X7">
        <f>HYPERLINK("https://klasma.github.io/Logging_0781/kartor/S 1913-2025 karta.png", "S 1913-2025")</f>
        <v/>
      </c>
      <c r="Y7">
        <f>HYPERLINK("https://klasma.github.io/Logging_0781/kartor_geotiff/S 1913-2025 georefererad karta.tif", "S 1913-2025")</f>
        <v/>
      </c>
      <c r="AA7">
        <f>HYPERLINK("https://klasma.github.io/Logging_0781/klagomål/S 1913-2025 FSC-klagomål.docx", "S 1913-2025")</f>
        <v/>
      </c>
      <c r="AB7">
        <f>HYPERLINK("https://klasma.github.io/Logging_0781/klagomålsmail/S 1913-2025 FSC-klagomål mail.docx", "S 1913-2025")</f>
        <v/>
      </c>
      <c r="AC7">
        <f>HYPERLINK("https://klasma.github.io/Logging_0781/tillsyn/S 1913-2025 tillsynsbegäran.docx", "S 1913-2025")</f>
        <v/>
      </c>
      <c r="AD7">
        <f>HYPERLINK("https://klasma.github.io/Logging_0781/tillsynsmail/S 1913-2025 tillsynsbegäran mail.docx", "S 1913-2025")</f>
        <v/>
      </c>
    </row>
    <row r="8" ht="15" customHeight="1">
      <c r="A8" t="inlineStr">
        <is>
          <t>S 2230-2025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45867</v>
      </c>
      <c r="E8" s="1" t="n">
        <v>46284</v>
      </c>
      <c r="F8" t="inlineStr">
        <is>
          <t>KRONOBERGS LÄN</t>
        </is>
      </c>
      <c r="G8" t="inlineStr">
        <is>
          <t>LJUNGBY</t>
        </is>
      </c>
      <c r="I8" t="n">
        <v>13.2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Barbastell
Brunlångöra
Fransfladdermus
Nordfladdermus
Dvärgpipistrell
Vattenfladdermus</t>
        </is>
      </c>
      <c r="W8">
        <f>HYPERLINK("https://klasma.github.io/Logging_0781/artfynd/S 2230-2025 artfynd.xlsx", "S 2230-2025")</f>
        <v/>
      </c>
      <c r="X8">
        <f>HYPERLINK("https://klasma.github.io/Logging_0781/kartor/S 2230-2025 karta.png", "S 2230-2025")</f>
        <v/>
      </c>
      <c r="Y8">
        <f>HYPERLINK("https://klasma.github.io/Logging_0781/kartor_geotiff/S 2230-2025 georefererad karta.tif", "S 2230-2025")</f>
        <v/>
      </c>
      <c r="AA8">
        <f>HYPERLINK("https://klasma.github.io/Logging_0781/klagomål/S 2230-2025 FSC-klagomål.docx", "S 2230-2025")</f>
        <v/>
      </c>
      <c r="AB8">
        <f>HYPERLINK("https://klasma.github.io/Logging_0781/klagomålsmail/S 2230-2025 FSC-klagomål mail.docx", "S 2230-2025")</f>
        <v/>
      </c>
      <c r="AC8">
        <f>HYPERLINK("https://klasma.github.io/Logging_0781/tillsyn/S 2230-2025 tillsynsbegäran.docx", "S 2230-2025")</f>
        <v/>
      </c>
      <c r="AD8">
        <f>HYPERLINK("https://klasma.github.io/Logging_0781/tillsynsmail/S 2230-2025 tillsynsbegäran mail.docx", "S 2230-2025")</f>
        <v/>
      </c>
    </row>
    <row r="9" ht="15" customHeight="1">
      <c r="A9" t="inlineStr">
        <is>
          <t>S 2298-2025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45881</v>
      </c>
      <c r="E9" s="1" t="n">
        <v>46284</v>
      </c>
      <c r="F9" t="inlineStr">
        <is>
          <t>KRONOBERGS LÄN</t>
        </is>
      </c>
      <c r="G9" t="inlineStr">
        <is>
          <t>LJUNGBY</t>
        </is>
      </c>
      <c r="H9" t="inlineStr">
        <is>
          <t>Sveaskog</t>
        </is>
      </c>
      <c r="I9" t="n">
        <v>2.5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9</v>
      </c>
      <c r="U9" t="n">
        <v>5</v>
      </c>
      <c r="V9" s="2" t="inlineStr">
        <is>
          <t>Havstrut
Myrspov
Sjötåtel
Skrattmås
Barkkornlav
Rostfläck</t>
        </is>
      </c>
      <c r="W9">
        <f>HYPERLINK("https://klasma.github.io/Logging_0781/artfynd/S 2298-2025 artfynd.xlsx", "S 2298-2025")</f>
        <v/>
      </c>
      <c r="X9">
        <f>HYPERLINK("https://klasma.github.io/Logging_0781/kartor/S 2298-2025 karta.png", "S 2298-2025")</f>
        <v/>
      </c>
      <c r="Y9">
        <f>HYPERLINK("https://klasma.github.io/Logging_0781/kartor_geotiff/S 2298-2025 georefererad karta.tif", "S 2298-2025")</f>
        <v/>
      </c>
      <c r="AA9">
        <f>HYPERLINK("https://klasma.github.io/Logging_0781/klagomål/S 2298-2025 FSC-klagomål.docx", "S 2298-2025")</f>
        <v/>
      </c>
      <c r="AB9">
        <f>HYPERLINK("https://klasma.github.io/Logging_0781/klagomålsmail/S 2298-2025 FSC-klagomål mail.docx", "S 2298-2025")</f>
        <v/>
      </c>
      <c r="AC9">
        <f>HYPERLINK("https://klasma.github.io/Logging_0781/tillsyn/S 2298-2025 tillsynsbegäran.docx", "S 2298-2025")</f>
        <v/>
      </c>
      <c r="AD9">
        <f>HYPERLINK("https://klasma.github.io/Logging_0781/tillsynsmail/S 2298-2025 tillsynsbegäran mail.docx", "S 2298-2025")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46284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46284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46284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46284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46284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46284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46284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46284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46284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46284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46284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46284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46284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46284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46284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46284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46284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46284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46284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46284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46284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46284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46284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46284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46284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46284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46284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46284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60139-2024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46284</v>
      </c>
      <c r="F38" t="inlineStr">
        <is>
          <t>KRONOBERGS LÄN</t>
        </is>
      </c>
      <c r="G38" t="inlineStr">
        <is>
          <t>LJUNGBY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Skogsalm
Blåsippa</t>
        </is>
      </c>
      <c r="W38">
        <f>HYPERLINK("https://klasma.github.io/Logging_0781/artfynd/A 60139-2024 artfynd.xlsx", "A 60139-2024")</f>
        <v/>
      </c>
      <c r="X38">
        <f>HYPERLINK("https://klasma.github.io/Logging_0781/kartor/A 60139-2024 karta.png", "A 60139-2024")</f>
        <v/>
      </c>
      <c r="Y38">
        <f>HYPERLINK("https://klasma.github.io/Logging_0781/kartor_geotiff/A 60139-2024 georefererad karta.tif", "A 60139-2024")</f>
        <v/>
      </c>
      <c r="AA38">
        <f>HYPERLINK("https://klasma.github.io/Logging_0781/klagomål/A 60139-2024 FSC-klagomål.docx", "A 60139-2024")</f>
        <v/>
      </c>
      <c r="AB38">
        <f>HYPERLINK("https://klasma.github.io/Logging_0781/klagomålsmail/A 60139-2024 FSC-klagomål mail.docx", "A 60139-2024")</f>
        <v/>
      </c>
      <c r="AC38">
        <f>HYPERLINK("https://klasma.github.io/Logging_0781/tillsyn/A 60139-2024 tillsynsbegäran.docx", "A 60139-2024")</f>
        <v/>
      </c>
      <c r="AD38">
        <f>HYPERLINK("https://klasma.github.io/Logging_0781/tillsynsmail/A 60139-2024 tillsynsbegäran mail.docx", "A 60139-2024")</f>
        <v/>
      </c>
    </row>
    <row r="39" ht="15" customHeight="1">
      <c r="A39" t="inlineStr">
        <is>
          <t>A 21869-2026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46284</v>
      </c>
      <c r="F39" t="inlineStr">
        <is>
          <t>KRONOBERGS LÄN</t>
        </is>
      </c>
      <c r="G39" t="inlineStr">
        <is>
          <t>LJUNGBY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Ängskovall</t>
        </is>
      </c>
      <c r="W39">
        <f>HYPERLINK("https://klasma.github.io/Logging_0781/artfynd/A 21869-2026 artfynd.xlsx", "A 21869-2026")</f>
        <v/>
      </c>
      <c r="X39">
        <f>HYPERLINK("https://klasma.github.io/Logging_0781/kartor/A 21869-2026 karta.png", "A 21869-2026")</f>
        <v/>
      </c>
      <c r="Y39">
        <f>HYPERLINK("https://klasma.github.io/Logging_0781/kartor_geotiff/A 21869-2026 georefererad karta.tif", "A 21869-2026")</f>
        <v/>
      </c>
      <c r="AA39">
        <f>HYPERLINK("https://klasma.github.io/Logging_0781/klagomål/A 21869-2026 FSC-klagomål.docx", "A 21869-2026")</f>
        <v/>
      </c>
      <c r="AB39">
        <f>HYPERLINK("https://klasma.github.io/Logging_0781/klagomålsmail/A 21869-2026 FSC-klagomål mail.docx", "A 21869-2026")</f>
        <v/>
      </c>
      <c r="AC39">
        <f>HYPERLINK("https://klasma.github.io/Logging_0781/tillsyn/A 21869-2026 tillsynsbegäran.docx", "A 21869-2026")</f>
        <v/>
      </c>
      <c r="AD39">
        <f>HYPERLINK("https://klasma.github.io/Logging_0781/tillsynsmail/A 21869-2026 tillsynsbegäran mail.docx", "A 21869-2026")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46284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Klockgentiana
Granspira</t>
        </is>
      </c>
      <c r="W40">
        <f>HYPERLINK("https://klasma.github.io/Logging_0781/artfynd/A 9027-2024 artfynd.xlsx", "A 9027-2024")</f>
        <v/>
      </c>
      <c r="X40">
        <f>HYPERLINK("https://klasma.github.io/Logging_0781/kartor/A 9027-2024 karta.png", "A 9027-2024")</f>
        <v/>
      </c>
      <c r="Y40">
        <f>HYPERLINK("https://klasma.github.io/Logging_0781/kartor_geotiff/A 9027-2024 georefererad karta.tif", "A 9027-2024")</f>
        <v/>
      </c>
      <c r="AA40">
        <f>HYPERLINK("https://klasma.github.io/Logging_0781/klagomål/A 9027-2024 FSC-klagomål.docx", "A 9027-2024")</f>
        <v/>
      </c>
      <c r="AB40">
        <f>HYPERLINK("https://klasma.github.io/Logging_0781/klagomålsmail/A 9027-2024 FSC-klagomål mail.docx", "A 9027-2024")</f>
        <v/>
      </c>
      <c r="AC40">
        <f>HYPERLINK("https://klasma.github.io/Logging_0781/tillsyn/A 9027-2024 tillsynsbegäran.docx", "A 9027-2024")</f>
        <v/>
      </c>
      <c r="AD40">
        <f>HYPERLINK("https://klasma.github.io/Logging_0781/tillsynsmail/A 9027-2024 tillsynsbegäran mail.docx", "A 9027-2024")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46284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54956-2023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45236</v>
      </c>
      <c r="E42" s="1" t="n">
        <v>46284</v>
      </c>
      <c r="F42" t="inlineStr">
        <is>
          <t>KRONOBERGS LÄN</t>
        </is>
      </c>
      <c r="G42" t="inlineStr">
        <is>
          <t>LJUNGBY</t>
        </is>
      </c>
      <c r="I42" t="n">
        <v>19.8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Talltita</t>
        </is>
      </c>
      <c r="W42">
        <f>HYPERLINK("https://klasma.github.io/Logging_0781/artfynd/A 54956-2023 artfynd.xlsx", "A 54956-2023")</f>
        <v/>
      </c>
      <c r="X42">
        <f>HYPERLINK("https://klasma.github.io/Logging_0781/kartor/A 54956-2023 karta.png", "A 54956-2023")</f>
        <v/>
      </c>
      <c r="Y42">
        <f>HYPERLINK("https://klasma.github.io/Logging_0781/kartor_geotiff/A 54956-2023 georefererad karta.tif", "A 54956-2023")</f>
        <v/>
      </c>
      <c r="AA42">
        <f>HYPERLINK("https://klasma.github.io/Logging_0781/klagomål/A 54956-2023 FSC-klagomål.docx", "A 54956-2023")</f>
        <v/>
      </c>
      <c r="AB42">
        <f>HYPERLINK("https://klasma.github.io/Logging_0781/klagomålsmail/A 54956-2023 FSC-klagomål mail.docx", "A 54956-2023")</f>
        <v/>
      </c>
      <c r="AC42">
        <f>HYPERLINK("https://klasma.github.io/Logging_0781/tillsyn/A 54956-2023 tillsynsbegäran.docx", "A 54956-2023")</f>
        <v/>
      </c>
      <c r="AD42">
        <f>HYPERLINK("https://klasma.github.io/Logging_0781/tillsynsmail/A 54956-2023 tillsynsbegäran mail.docx", "A 54956-2023")</f>
        <v/>
      </c>
      <c r="AE42">
        <f>HYPERLINK("https://klasma.github.io/Logging_0781/fåglar/A 54956-2023 prioriterade fågelarter.docx", "A 54956-2023")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46284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46284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46284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49747-2023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45212</v>
      </c>
      <c r="E46" s="1" t="n">
        <v>46284</v>
      </c>
      <c r="F46" t="inlineStr">
        <is>
          <t>KRONOBERGS LÄN</t>
        </is>
      </c>
      <c r="G46" t="inlineStr">
        <is>
          <t>LJUNGBY</t>
        </is>
      </c>
      <c r="I46" t="n">
        <v>6.7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t="n">
        <v>0</v>
      </c>
      <c r="V46" s="2" t="inlineStr">
        <is>
          <t>Klockgentiana
Sjötåtel</t>
        </is>
      </c>
      <c r="W46">
        <f>HYPERLINK("https://klasma.github.io/Logging_0781/artfynd/A 49747-2023 artfynd.xlsx", "A 49747-2023")</f>
        <v/>
      </c>
      <c r="X46">
        <f>HYPERLINK("https://klasma.github.io/Logging_0781/kartor/A 49747-2023 karta.png", "A 49747-2023")</f>
        <v/>
      </c>
      <c r="Y46">
        <f>HYPERLINK("https://klasma.github.io/Logging_0781/kartor_geotiff/A 49747-2023 georefererad karta.tif", "A 49747-2023")</f>
        <v/>
      </c>
      <c r="AA46">
        <f>HYPERLINK("https://klasma.github.io/Logging_0781/klagomål/A 49747-2023 FSC-klagomål.docx", "A 49747-2023")</f>
        <v/>
      </c>
      <c r="AB46">
        <f>HYPERLINK("https://klasma.github.io/Logging_0781/klagomålsmail/A 49747-2023 FSC-klagomål mail.docx", "A 49747-2023")</f>
        <v/>
      </c>
      <c r="AC46">
        <f>HYPERLINK("https://klasma.github.io/Logging_0781/tillsyn/A 49747-2023 tillsynsbegäran.docx", "A 49747-2023")</f>
        <v/>
      </c>
      <c r="AD46">
        <f>HYPERLINK("https://klasma.github.io/Logging_0781/tillsynsmail/A 49747-2023 tillsynsbegäran mail.docx", "A 49747-2023")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46284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Gulsparv
Kungsfågel</t>
        </is>
      </c>
      <c r="W47">
        <f>HYPERLINK("https://klasma.github.io/Logging_0781/artfynd/A 33079-2023 artfynd.xlsx", "A 33079-2023")</f>
        <v/>
      </c>
      <c r="X47">
        <f>HYPERLINK("https://klasma.github.io/Logging_0781/kartor/A 33079-2023 karta.png", "A 33079-2023")</f>
        <v/>
      </c>
      <c r="Y47">
        <f>HYPERLINK("https://klasma.github.io/Logging_0781/kartor_geotiff/A 33079-2023 georefererad karta.tif", "A 33079-2023")</f>
        <v/>
      </c>
      <c r="AA47">
        <f>HYPERLINK("https://klasma.github.io/Logging_0781/klagomål/A 33079-2023 FSC-klagomål.docx", "A 33079-2023")</f>
        <v/>
      </c>
      <c r="AB47">
        <f>HYPERLINK("https://klasma.github.io/Logging_0781/klagomålsmail/A 33079-2023 FSC-klagomål mail.docx", "A 33079-2023")</f>
        <v/>
      </c>
      <c r="AC47">
        <f>HYPERLINK("https://klasma.github.io/Logging_0781/tillsyn/A 33079-2023 tillsynsbegäran.docx", "A 33079-2023")</f>
        <v/>
      </c>
      <c r="AD47">
        <f>HYPERLINK("https://klasma.github.io/Logging_0781/tillsynsmail/A 33079-2023 tillsynsbegäran mail.docx", "A 33079-2023")</f>
        <v/>
      </c>
      <c r="AE47">
        <f>HYPERLINK("https://klasma.github.io/Logging_0781/fåglar/A 33079-2023 prioriterade fågelarter.docx", "A 33079-2023")</f>
        <v/>
      </c>
    </row>
    <row r="48" ht="15" customHeight="1">
      <c r="A48" t="inlineStr">
        <is>
          <t>A 28286-2026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46284</v>
      </c>
      <c r="F48" t="inlineStr">
        <is>
          <t>KRONOBERGS LÄN</t>
        </is>
      </c>
      <c r="G48" t="inlineStr">
        <is>
          <t>LJUNGBY</t>
        </is>
      </c>
      <c r="I48" t="n">
        <v>0.5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Korallrot
Spindelblomster</t>
        </is>
      </c>
      <c r="W48">
        <f>HYPERLINK("https://klasma.github.io/Logging_0781/artfynd/A 28286-2026 artfynd.xlsx", "A 28286-2026")</f>
        <v/>
      </c>
      <c r="X48">
        <f>HYPERLINK("https://klasma.github.io/Logging_0781/kartor/A 28286-2026 karta.png", "A 28286-2026")</f>
        <v/>
      </c>
      <c r="Y48">
        <f>HYPERLINK("https://klasma.github.io/Logging_0781/kartor_geotiff/A 28286-2026 georefererad karta.tif", "A 28286-2026")</f>
        <v/>
      </c>
      <c r="AA48">
        <f>HYPERLINK("https://klasma.github.io/Logging_0781/klagomål/A 28286-2026 FSC-klagomål.docx", "A 28286-2026")</f>
        <v/>
      </c>
      <c r="AB48">
        <f>HYPERLINK("https://klasma.github.io/Logging_0781/klagomålsmail/A 28286-2026 FSC-klagomål mail.docx", "A 28286-2026")</f>
        <v/>
      </c>
      <c r="AC48">
        <f>HYPERLINK("https://klasma.github.io/Logging_0781/tillsyn/A 28286-2026 tillsynsbegäran.docx", "A 28286-2026")</f>
        <v/>
      </c>
      <c r="AD48">
        <f>HYPERLINK("https://klasma.github.io/Logging_0781/tillsynsmail/A 28286-2026 tillsynsbegäran mail.docx", "A 28286-2026")</f>
        <v/>
      </c>
    </row>
    <row r="49" ht="15" customHeight="1">
      <c r="A49" t="inlineStr">
        <is>
          <t>A 28774-2026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46284</v>
      </c>
      <c r="F49" t="inlineStr">
        <is>
          <t>KRONOBERGS LÄN</t>
        </is>
      </c>
      <c r="G49" t="inlineStr">
        <is>
          <t>LJUNGBY</t>
        </is>
      </c>
      <c r="I49" t="n">
        <v>4.3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Skuggmossa
Fläcknycklar</t>
        </is>
      </c>
      <c r="W49">
        <f>HYPERLINK("https://klasma.github.io/Logging_0781/artfynd/A 28774-2026 artfynd.xlsx", "A 28774-2026")</f>
        <v/>
      </c>
      <c r="X49">
        <f>HYPERLINK("https://klasma.github.io/Logging_0781/kartor/A 28774-2026 karta.png", "A 28774-2026")</f>
        <v/>
      </c>
      <c r="Y49">
        <f>HYPERLINK("https://klasma.github.io/Logging_0781/kartor_geotiff/A 28774-2026 georefererad karta.tif", "A 28774-2026")</f>
        <v/>
      </c>
      <c r="AA49">
        <f>HYPERLINK("https://klasma.github.io/Logging_0781/klagomål/A 28774-2026 FSC-klagomål.docx", "A 28774-2026")</f>
        <v/>
      </c>
      <c r="AB49">
        <f>HYPERLINK("https://klasma.github.io/Logging_0781/klagomålsmail/A 28774-2026 FSC-klagomål mail.docx", "A 28774-2026")</f>
        <v/>
      </c>
      <c r="AC49">
        <f>HYPERLINK("https://klasma.github.io/Logging_0781/tillsyn/A 28774-2026 tillsynsbegäran.docx", "A 28774-2026")</f>
        <v/>
      </c>
      <c r="AD49">
        <f>HYPERLINK("https://klasma.github.io/Logging_0781/tillsynsmail/A 28774-2026 tillsynsbegäran mail.docx", "A 28774-2026")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46284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46284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46284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46284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46284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46284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46284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46284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46284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46284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46284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46284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46284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46284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46284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46284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46284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46284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46284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46284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46284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46284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46284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46284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46284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46284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46284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14493-2023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46284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14493-2023 artfynd.xlsx", "A 14493-2023")</f>
        <v/>
      </c>
      <c r="X86">
        <f>HYPERLINK("https://klasma.github.io/Logging_0781/kartor/A 14493-2023 karta.png", "A 14493-2023")</f>
        <v/>
      </c>
      <c r="Y86">
        <f>HYPERLINK("https://klasma.github.io/Logging_0781/kartor_geotiff/A 14493-2023 georefererad karta.tif", "A 14493-2023")</f>
        <v/>
      </c>
      <c r="AA86">
        <f>HYPERLINK("https://klasma.github.io/Logging_0781/klagomål/A 14493-2023 FSC-klagomål.docx", "A 14493-2023")</f>
        <v/>
      </c>
      <c r="AB86">
        <f>HYPERLINK("https://klasma.github.io/Logging_0781/klagomålsmail/A 14493-2023 FSC-klagomål mail.docx", "A 14493-2023")</f>
        <v/>
      </c>
      <c r="AC86">
        <f>HYPERLINK("https://klasma.github.io/Logging_0781/tillsyn/A 14493-2023 tillsynsbegäran.docx", "A 14493-2023")</f>
        <v/>
      </c>
      <c r="AD86">
        <f>HYPERLINK("https://klasma.github.io/Logging_0781/tillsynsmail/A 14493-2023 tillsynsbegäran mail.docx", "A 14493-2023")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46284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26064-2025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46284</v>
      </c>
      <c r="F88" t="inlineStr">
        <is>
          <t>KRONOBERGS LÄN</t>
        </is>
      </c>
      <c r="G88" t="inlineStr">
        <is>
          <t>LJUNGBY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Brunpudrad nållav</t>
        </is>
      </c>
      <c r="W88">
        <f>HYPERLINK("https://klasma.github.io/Logging_0781/artfynd/A 26064-2025 artfynd.xlsx", "A 26064-2025")</f>
        <v/>
      </c>
      <c r="X88">
        <f>HYPERLINK("https://klasma.github.io/Logging_0781/kartor/A 26064-2025 karta.png", "A 26064-2025")</f>
        <v/>
      </c>
      <c r="Y88">
        <f>HYPERLINK("https://klasma.github.io/Logging_0781/kartor_geotiff/A 26064-2025 georefererad karta.tif", "A 26064-2025")</f>
        <v/>
      </c>
      <c r="AA88">
        <f>HYPERLINK("https://klasma.github.io/Logging_0781/klagomål/A 26064-2025 FSC-klagomål.docx", "A 26064-2025")</f>
        <v/>
      </c>
      <c r="AB88">
        <f>HYPERLINK("https://klasma.github.io/Logging_0781/klagomålsmail/A 26064-2025 FSC-klagomål mail.docx", "A 26064-2025")</f>
        <v/>
      </c>
      <c r="AC88">
        <f>HYPERLINK("https://klasma.github.io/Logging_0781/tillsyn/A 26064-2025 tillsynsbegäran.docx", "A 26064-2025")</f>
        <v/>
      </c>
      <c r="AD88">
        <f>HYPERLINK("https://klasma.github.io/Logging_0781/tillsynsmail/A 26064-2025 tillsynsbegäran mail.docx", "A 26064-2025")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46284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59681-2022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46284</v>
      </c>
      <c r="F90" t="inlineStr">
        <is>
          <t>KRONOBERGS LÄN</t>
        </is>
      </c>
      <c r="G90" t="inlineStr">
        <is>
          <t>LJUNGBY</t>
        </is>
      </c>
      <c r="H90" t="inlineStr">
        <is>
          <t>Sveaskog</t>
        </is>
      </c>
      <c r="I90" t="n">
        <v>2.3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HYPERLINK("https://klasma.github.io/Logging_0781/artfynd/A 59681-2022 artfynd.xlsx", "A 59681-2022")</f>
        <v/>
      </c>
      <c r="X90">
        <f>HYPERLINK("https://klasma.github.io/Logging_0781/kartor/A 59681-2022 karta.png", "A 59681-2022")</f>
        <v/>
      </c>
      <c r="Y90">
        <f>HYPERLINK("https://klasma.github.io/Logging_0781/kartor_geotiff/A 59681-2022 georefererad karta.tif", "A 59681-2022")</f>
        <v/>
      </c>
      <c r="AA90">
        <f>HYPERLINK("https://klasma.github.io/Logging_0781/klagomål/A 59681-2022 FSC-klagomål.docx", "A 59681-2022")</f>
        <v/>
      </c>
      <c r="AB90">
        <f>HYPERLINK("https://klasma.github.io/Logging_0781/klagomålsmail/A 59681-2022 FSC-klagomål mail.docx", "A 59681-2022")</f>
        <v/>
      </c>
      <c r="AC90">
        <f>HYPERLINK("https://klasma.github.io/Logging_0781/tillsyn/A 59681-2022 tillsynsbegäran.docx", "A 59681-2022")</f>
        <v/>
      </c>
      <c r="AD90">
        <f>HYPERLINK("https://klasma.github.io/Logging_0781/tillsynsmail/A 59681-2022 tillsynsbegäran mail.docx", "A 59681-2022")</f>
        <v/>
      </c>
      <c r="AE90">
        <f>HYPERLINK("https://klasma.github.io/Logging_0781/fåglar/A 59681-2022 prioriterade fågelarter.docx", "A 59681-2022")</f>
        <v/>
      </c>
    </row>
    <row r="91" ht="15" customHeight="1">
      <c r="A91" t="inlineStr">
        <is>
          <t>A 49087-2025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46284</v>
      </c>
      <c r="F91" t="inlineStr">
        <is>
          <t>KRONOBERGS LÄN</t>
        </is>
      </c>
      <c r="G91" t="inlineStr">
        <is>
          <t>LJUNGBY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HYPERLINK("https://klasma.github.io/Logging_0781/artfynd/A 49087-2025 artfynd.xlsx", "A 49087-2025")</f>
        <v/>
      </c>
      <c r="X91">
        <f>HYPERLINK("https://klasma.github.io/Logging_0781/kartor/A 49087-2025 karta.png", "A 49087-2025")</f>
        <v/>
      </c>
      <c r="Y91">
        <f>HYPERLINK("https://klasma.github.io/Logging_0781/kartor_geotiff/A 49087-2025 georefererad karta.tif", "A 49087-2025")</f>
        <v/>
      </c>
      <c r="AA91">
        <f>HYPERLINK("https://klasma.github.io/Logging_0781/klagomål/A 49087-2025 FSC-klagomål.docx", "A 49087-2025")</f>
        <v/>
      </c>
      <c r="AB91">
        <f>HYPERLINK("https://klasma.github.io/Logging_0781/klagomålsmail/A 49087-2025 FSC-klagomål mail.docx", "A 49087-2025")</f>
        <v/>
      </c>
      <c r="AC91">
        <f>HYPERLINK("https://klasma.github.io/Logging_0781/tillsyn/A 49087-2025 tillsynsbegäran.docx", "A 49087-2025")</f>
        <v/>
      </c>
      <c r="AD91">
        <f>HYPERLINK("https://klasma.github.io/Logging_0781/tillsynsmail/A 49087-2025 tillsynsbegäran mail.docx", "A 49087-2025")</f>
        <v/>
      </c>
    </row>
    <row r="92" ht="15" customHeight="1">
      <c r="A92" t="inlineStr">
        <is>
          <t>A 9911-2023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44985</v>
      </c>
      <c r="E92" s="1" t="n">
        <v>46284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Spindelblomster</t>
        </is>
      </c>
      <c r="W92">
        <f>HYPERLINK("https://klasma.github.io/Logging_0781/artfynd/A 9911-2023 artfynd.xlsx", "A 9911-2023")</f>
        <v/>
      </c>
      <c r="X92">
        <f>HYPERLINK("https://klasma.github.io/Logging_0781/kartor/A 9911-2023 karta.png", "A 9911-2023")</f>
        <v/>
      </c>
      <c r="Y92">
        <f>HYPERLINK("https://klasma.github.io/Logging_0781/kartor_geotiff/A 9911-2023 georefererad karta.tif", "A 9911-2023")</f>
        <v/>
      </c>
      <c r="AA92">
        <f>HYPERLINK("https://klasma.github.io/Logging_0781/klagomål/A 9911-2023 FSC-klagomål.docx", "A 9911-2023")</f>
        <v/>
      </c>
      <c r="AB92">
        <f>HYPERLINK("https://klasma.github.io/Logging_0781/klagomålsmail/A 9911-2023 FSC-klagomål mail.docx", "A 9911-2023")</f>
        <v/>
      </c>
      <c r="AC92">
        <f>HYPERLINK("https://klasma.github.io/Logging_0781/tillsyn/A 9911-2023 tillsynsbegäran.docx", "A 9911-2023")</f>
        <v/>
      </c>
      <c r="AD92">
        <f>HYPERLINK("https://klasma.github.io/Logging_0781/tillsynsmail/A 9911-2023 tillsynsbegäran mail.docx", "A 9911-2023")</f>
        <v/>
      </c>
    </row>
    <row r="93" ht="15" customHeight="1">
      <c r="A93" t="inlineStr">
        <is>
          <t>A 62026-2023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46284</v>
      </c>
      <c r="F93" t="inlineStr">
        <is>
          <t>KRONOBERGS LÄN</t>
        </is>
      </c>
      <c r="G93" t="inlineStr">
        <is>
          <t>LJUNGBY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62026-2023 artfynd.xlsx", "A 62026-2023")</f>
        <v/>
      </c>
      <c r="X93">
        <f>HYPERLINK("https://klasma.github.io/Logging_0781/kartor/A 62026-2023 karta.png", "A 62026-2023")</f>
        <v/>
      </c>
      <c r="Y93">
        <f>HYPERLINK("https://klasma.github.io/Logging_0781/kartor_geotiff/A 62026-2023 georefererad karta.tif", "A 62026-2023")</f>
        <v/>
      </c>
      <c r="AA93">
        <f>HYPERLINK("https://klasma.github.io/Logging_0781/klagomål/A 62026-2023 FSC-klagomål.docx", "A 62026-2023")</f>
        <v/>
      </c>
      <c r="AB93">
        <f>HYPERLINK("https://klasma.github.io/Logging_0781/klagomålsmail/A 62026-2023 FSC-klagomål mail.docx", "A 62026-2023")</f>
        <v/>
      </c>
      <c r="AC93">
        <f>HYPERLINK("https://klasma.github.io/Logging_0781/tillsyn/A 62026-2023 tillsynsbegäran.docx", "A 62026-2023")</f>
        <v/>
      </c>
      <c r="AD93">
        <f>HYPERLINK("https://klasma.github.io/Logging_0781/tillsynsmail/A 62026-2023 tillsynsbegäran mail.docx", "A 62026-2023")</f>
        <v/>
      </c>
      <c r="AE93">
        <f>HYPERLINK("https://klasma.github.io/Logging_0781/fåglar/A 62026-2023 prioriterade fågelarter.docx", "A 62026-2023")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46284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40088-2022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46284</v>
      </c>
      <c r="F95" t="inlineStr">
        <is>
          <t>KRONOBERGS LÄN</t>
        </is>
      </c>
      <c r="G95" t="inlineStr">
        <is>
          <t>LJUNGBY</t>
        </is>
      </c>
      <c r="I95" t="n">
        <v>1.1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Stor hagfibbla</t>
        </is>
      </c>
      <c r="W95">
        <f>HYPERLINK("https://klasma.github.io/Logging_0781/artfynd/A 40088-2022 artfynd.xlsx", "A 40088-2022")</f>
        <v/>
      </c>
      <c r="X95">
        <f>HYPERLINK("https://klasma.github.io/Logging_0781/kartor/A 40088-2022 karta.png", "A 40088-2022")</f>
        <v/>
      </c>
      <c r="Y95">
        <f>HYPERLINK("https://klasma.github.io/Logging_0781/kartor_geotiff/A 40088-2022 georefererad karta.tif", "A 40088-2022")</f>
        <v/>
      </c>
      <c r="AA95">
        <f>HYPERLINK("https://klasma.github.io/Logging_0781/klagomål/A 40088-2022 FSC-klagomål.docx", "A 40088-2022")</f>
        <v/>
      </c>
      <c r="AB95">
        <f>HYPERLINK("https://klasma.github.io/Logging_0781/klagomålsmail/A 40088-2022 FSC-klagomål mail.docx", "A 40088-2022")</f>
        <v/>
      </c>
      <c r="AC95">
        <f>HYPERLINK("https://klasma.github.io/Logging_0781/tillsyn/A 40088-2022 tillsynsbegäran.docx", "A 40088-2022")</f>
        <v/>
      </c>
      <c r="AD95">
        <f>HYPERLINK("https://klasma.github.io/Logging_0781/tillsynsmail/A 40088-2022 tillsynsbegäran mail.docx", "A 40088-2022")</f>
        <v/>
      </c>
    </row>
    <row r="96" ht="15" customHeight="1">
      <c r="A96" t="inlineStr">
        <is>
          <t>A 13387-2022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46284</v>
      </c>
      <c r="F96" t="inlineStr">
        <is>
          <t>KRONOBERGS LÄN</t>
        </is>
      </c>
      <c r="G96" t="inlineStr">
        <is>
          <t>LJUNGBY</t>
        </is>
      </c>
      <c r="I96" t="n">
        <v>1.4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HYPERLINK("https://klasma.github.io/Logging_0781/artfynd/A 13387-2022 artfynd.xlsx", "A 13387-2022")</f>
        <v/>
      </c>
      <c r="X96">
        <f>HYPERLINK("https://klasma.github.io/Logging_0781/kartor/A 13387-2022 karta.png", "A 13387-2022")</f>
        <v/>
      </c>
      <c r="Y96">
        <f>HYPERLINK("https://klasma.github.io/Logging_0781/kartor_geotiff/A 13387-2022 georefererad karta.tif", "A 13387-2022")</f>
        <v/>
      </c>
      <c r="AA96">
        <f>HYPERLINK("https://klasma.github.io/Logging_0781/klagomål/A 13387-2022 FSC-klagomål.docx", "A 13387-2022")</f>
        <v/>
      </c>
      <c r="AB96">
        <f>HYPERLINK("https://klasma.github.io/Logging_0781/klagomålsmail/A 13387-2022 FSC-klagomål mail.docx", "A 13387-2022")</f>
        <v/>
      </c>
      <c r="AC96">
        <f>HYPERLINK("https://klasma.github.io/Logging_0781/tillsyn/A 13387-2022 tillsynsbegäran.docx", "A 13387-2022")</f>
        <v/>
      </c>
      <c r="AD96">
        <f>HYPERLINK("https://klasma.github.io/Logging_0781/tillsynsmail/A 13387-2022 tillsynsbegäran mail.docx", "A 13387-2022")</f>
        <v/>
      </c>
    </row>
    <row r="97" ht="15" customHeight="1">
      <c r="A97" t="inlineStr">
        <is>
          <t>A 62153-2025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46284</v>
      </c>
      <c r="F97" t="inlineStr">
        <is>
          <t>KRONOBERGS LÄN</t>
        </is>
      </c>
      <c r="G97" t="inlineStr">
        <is>
          <t>LJUNGBY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HYPERLINK("https://klasma.github.io/Logging_0781/artfynd/A 62153-2025 artfynd.xlsx", "A 62153-2025")</f>
        <v/>
      </c>
      <c r="X97">
        <f>HYPERLINK("https://klasma.github.io/Logging_0781/kartor/A 62153-2025 karta.png", "A 62153-2025")</f>
        <v/>
      </c>
      <c r="Y97">
        <f>HYPERLINK("https://klasma.github.io/Logging_0781/kartor_geotiff/A 62153-2025 georefererad karta.tif", "A 62153-2025")</f>
        <v/>
      </c>
      <c r="AA97">
        <f>HYPERLINK("https://klasma.github.io/Logging_0781/klagomål/A 62153-2025 FSC-klagomål.docx", "A 62153-2025")</f>
        <v/>
      </c>
      <c r="AB97">
        <f>HYPERLINK("https://klasma.github.io/Logging_0781/klagomålsmail/A 62153-2025 FSC-klagomål mail.docx", "A 62153-2025")</f>
        <v/>
      </c>
      <c r="AC97">
        <f>HYPERLINK("https://klasma.github.io/Logging_0781/tillsyn/A 62153-2025 tillsynsbegäran.docx", "A 62153-2025")</f>
        <v/>
      </c>
      <c r="AD97">
        <f>HYPERLINK("https://klasma.github.io/Logging_0781/tillsynsmail/A 62153-2025 tillsynsbegäran mail.docx", "A 62153-2025")</f>
        <v/>
      </c>
      <c r="AE97">
        <f>HYPERLINK("https://klasma.github.io/Logging_0781/fåglar/A 62153-2025 prioriterade fågelarter.docx", "A 62153-2025")</f>
        <v/>
      </c>
    </row>
    <row r="98" ht="15" customHeight="1">
      <c r="A98" t="inlineStr">
        <is>
          <t>A 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44928</v>
      </c>
      <c r="E98" s="1" t="n">
        <v>46284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205-2023 artfynd.xlsx", "A 205-2023")</f>
        <v/>
      </c>
      <c r="X98">
        <f>HYPERLINK("https://klasma.github.io/Logging_0781/kartor/A 205-2023 karta.png", "A 205-2023")</f>
        <v/>
      </c>
      <c r="Y98">
        <f>HYPERLINK("https://klasma.github.io/Logging_0781/kartor_geotiff/A 205-2023 georefererad karta.tif", "A 205-2023")</f>
        <v/>
      </c>
      <c r="AA98">
        <f>HYPERLINK("https://klasma.github.io/Logging_0781/klagomål/A 205-2023 FSC-klagomål.docx", "A 205-2023")</f>
        <v/>
      </c>
      <c r="AB98">
        <f>HYPERLINK("https://klasma.github.io/Logging_0781/klagomålsmail/A 205-2023 FSC-klagomål mail.docx", "A 205-2023")</f>
        <v/>
      </c>
      <c r="AC98">
        <f>HYPERLINK("https://klasma.github.io/Logging_0781/tillsyn/A 205-2023 tillsynsbegäran.docx", "A 205-2023")</f>
        <v/>
      </c>
      <c r="AD98">
        <f>HYPERLINK("https://klasma.github.io/Logging_0781/tillsynsmail/A 205-2023 tillsynsbegäran mail.docx", "A 205-2023")</f>
        <v/>
      </c>
    </row>
    <row r="99" ht="15" customHeight="1">
      <c r="A99" t="inlineStr">
        <is>
          <t>A 25241-2023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46284</v>
      </c>
      <c r="F99" t="inlineStr">
        <is>
          <t>KRONOBERGS LÄN</t>
        </is>
      </c>
      <c r="G99" t="inlineStr">
        <is>
          <t>LJUNGBY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25241-2023 artfynd.xlsx", "A 25241-2023")</f>
        <v/>
      </c>
      <c r="X99">
        <f>HYPERLINK("https://klasma.github.io/Logging_0781/kartor/A 25241-2023 karta.png", "A 25241-2023")</f>
        <v/>
      </c>
      <c r="Y99">
        <f>HYPERLINK("https://klasma.github.io/Logging_0781/kartor_geotiff/A 25241-2023 georefererad karta.tif", "A 25241-2023")</f>
        <v/>
      </c>
      <c r="AA99">
        <f>HYPERLINK("https://klasma.github.io/Logging_0781/klagomål/A 25241-2023 FSC-klagomål.docx", "A 25241-2023")</f>
        <v/>
      </c>
      <c r="AB99">
        <f>HYPERLINK("https://klasma.github.io/Logging_0781/klagomålsmail/A 25241-2023 FSC-klagomål mail.docx", "A 25241-2023")</f>
        <v/>
      </c>
      <c r="AC99">
        <f>HYPERLINK("https://klasma.github.io/Logging_0781/tillsyn/A 25241-2023 tillsynsbegäran.docx", "A 25241-2023")</f>
        <v/>
      </c>
      <c r="AD99">
        <f>HYPERLINK("https://klasma.github.io/Logging_0781/tillsynsmail/A 25241-2023 tillsynsbegäran mail.docx", "A 25241-2023")</f>
        <v/>
      </c>
    </row>
    <row r="100" ht="15" customHeight="1">
      <c r="A100" t="inlineStr">
        <is>
          <t>A 54002-2025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45961</v>
      </c>
      <c r="E100" s="1" t="n">
        <v>46284</v>
      </c>
      <c r="F100" t="inlineStr">
        <is>
          <t>KRONOBERGS LÄN</t>
        </is>
      </c>
      <c r="G100" t="inlineStr">
        <is>
          <t>LJUNGBY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Rostfläck</t>
        </is>
      </c>
      <c r="W100">
        <f>HYPERLINK("https://klasma.github.io/Logging_0781/artfynd/A 54002-2025 artfynd.xlsx", "A 54002-2025")</f>
        <v/>
      </c>
      <c r="X100">
        <f>HYPERLINK("https://klasma.github.io/Logging_0781/kartor/A 54002-2025 karta.png", "A 54002-2025")</f>
        <v/>
      </c>
      <c r="Y100">
        <f>HYPERLINK("https://klasma.github.io/Logging_0781/kartor_geotiff/A 54002-2025 georefererad karta.tif", "A 54002-2025")</f>
        <v/>
      </c>
      <c r="AA100">
        <f>HYPERLINK("https://klasma.github.io/Logging_0781/klagomål/A 54002-2025 FSC-klagomål.docx", "A 54002-2025")</f>
        <v/>
      </c>
      <c r="AB100">
        <f>HYPERLINK("https://klasma.github.io/Logging_0781/klagomålsmail/A 54002-2025 FSC-klagomål mail.docx", "A 54002-2025")</f>
        <v/>
      </c>
      <c r="AC100">
        <f>HYPERLINK("https://klasma.github.io/Logging_0781/tillsyn/A 54002-2025 tillsynsbegäran.docx", "A 54002-2025")</f>
        <v/>
      </c>
      <c r="AD100">
        <f>HYPERLINK("https://klasma.github.io/Logging_0781/tillsynsmail/A 54002-2025 tillsynsbegäran mail.docx", "A 54002-2025")</f>
        <v/>
      </c>
    </row>
    <row r="101" ht="15" customHeight="1">
      <c r="A101" t="inlineStr">
        <is>
          <t>A 48152-2023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46284</v>
      </c>
      <c r="F101" t="inlineStr">
        <is>
          <t>KRONOBERGS LÄN</t>
        </is>
      </c>
      <c r="G101" t="inlineStr">
        <is>
          <t>LJUNGBY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HYPERLINK("https://klasma.github.io/Logging_0781/artfynd/A 48152-2023 artfynd.xlsx", "A 48152-2023")</f>
        <v/>
      </c>
      <c r="X101">
        <f>HYPERLINK("https://klasma.github.io/Logging_0781/kartor/A 48152-2023 karta.png", "A 48152-2023")</f>
        <v/>
      </c>
      <c r="Y101">
        <f>HYPERLINK("https://klasma.github.io/Logging_0781/kartor_geotiff/A 48152-2023 georefererad karta.tif", "A 48152-2023")</f>
        <v/>
      </c>
      <c r="AA101">
        <f>HYPERLINK("https://klasma.github.io/Logging_0781/klagomål/A 48152-2023 FSC-klagomål.docx", "A 48152-2023")</f>
        <v/>
      </c>
      <c r="AB101">
        <f>HYPERLINK("https://klasma.github.io/Logging_0781/klagomålsmail/A 48152-2023 FSC-klagomål mail.docx", "A 48152-2023")</f>
        <v/>
      </c>
      <c r="AC101">
        <f>HYPERLINK("https://klasma.github.io/Logging_0781/tillsyn/A 48152-2023 tillsynsbegäran.docx", "A 48152-2023")</f>
        <v/>
      </c>
      <c r="AD101">
        <f>HYPERLINK("https://klasma.github.io/Logging_0781/tillsynsmail/A 48152-2023 tillsynsbegäran mail.docx", "A 48152-2023")</f>
        <v/>
      </c>
      <c r="AE101">
        <f>HYPERLINK("https://klasma.github.io/Logging_0781/fåglar/A 48152-2023 prioriterade fågelarter.docx", "A 48152-2023")</f>
        <v/>
      </c>
    </row>
    <row r="102" ht="15" customHeight="1">
      <c r="A102" t="inlineStr">
        <is>
          <t>A 4467-2025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46284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HYPERLINK("https://klasma.github.io/Logging_0781/artfynd/A 4467-2025 artfynd.xlsx", "A 4467-2025")</f>
        <v/>
      </c>
      <c r="X102">
        <f>HYPERLINK("https://klasma.github.io/Logging_0781/kartor/A 4467-2025 karta.png", "A 4467-2025")</f>
        <v/>
      </c>
      <c r="Y102">
        <f>HYPERLINK("https://klasma.github.io/Logging_0781/kartor_geotiff/A 4467-2025 georefererad karta.tif", "A 4467-2025")</f>
        <v/>
      </c>
      <c r="AA102">
        <f>HYPERLINK("https://klasma.github.io/Logging_0781/klagomål/A 4467-2025 FSC-klagomål.docx", "A 4467-2025")</f>
        <v/>
      </c>
      <c r="AB102">
        <f>HYPERLINK("https://klasma.github.io/Logging_0781/klagomålsmail/A 4467-2025 FSC-klagomål mail.docx", "A 4467-2025")</f>
        <v/>
      </c>
      <c r="AC102">
        <f>HYPERLINK("https://klasma.github.io/Logging_0781/tillsyn/A 4467-2025 tillsynsbegäran.docx", "A 4467-2025")</f>
        <v/>
      </c>
      <c r="AD102">
        <f>HYPERLINK("https://klasma.github.io/Logging_0781/tillsynsmail/A 4467-2025 tillsynsbegäran mail.docx", "A 4467-2025")</f>
        <v/>
      </c>
    </row>
    <row r="103" ht="15" customHeight="1">
      <c r="A103" t="inlineStr">
        <is>
          <t>A 2159-2025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46284</v>
      </c>
      <c r="F103" t="inlineStr">
        <is>
          <t>KRONOBERGS LÄN</t>
        </is>
      </c>
      <c r="G103" t="inlineStr">
        <is>
          <t>LJUNGBY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Slåttergubbe</t>
        </is>
      </c>
      <c r="W103">
        <f>HYPERLINK("https://klasma.github.io/Logging_0781/artfynd/A 2159-2025 artfynd.xlsx", "A 2159-2025")</f>
        <v/>
      </c>
      <c r="X103">
        <f>HYPERLINK("https://klasma.github.io/Logging_0781/kartor/A 2159-2025 karta.png", "A 2159-2025")</f>
        <v/>
      </c>
      <c r="Y103">
        <f>HYPERLINK("https://klasma.github.io/Logging_0781/kartor_geotiff/A 2159-2025 georefererad karta.tif", "A 2159-2025")</f>
        <v/>
      </c>
      <c r="AA103">
        <f>HYPERLINK("https://klasma.github.io/Logging_0781/klagomål/A 2159-2025 FSC-klagomål.docx", "A 2159-2025")</f>
        <v/>
      </c>
      <c r="AB103">
        <f>HYPERLINK("https://klasma.github.io/Logging_0781/klagomålsmail/A 2159-2025 FSC-klagomål mail.docx", "A 2159-2025")</f>
        <v/>
      </c>
      <c r="AC103">
        <f>HYPERLINK("https://klasma.github.io/Logging_0781/tillsyn/A 2159-2025 tillsynsbegäran.docx", "A 2159-2025")</f>
        <v/>
      </c>
      <c r="AD103">
        <f>HYPERLINK("https://klasma.github.io/Logging_0781/tillsynsmail/A 2159-2025 tillsynsbegäran mail.docx", "A 2159-2025")</f>
        <v/>
      </c>
    </row>
    <row r="104" ht="15" customHeight="1">
      <c r="A104" t="inlineStr">
        <is>
          <t>A 14496-2023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46284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Bäckbräsma</t>
        </is>
      </c>
      <c r="W104">
        <f>HYPERLINK("https://klasma.github.io/Logging_0781/artfynd/A 14496-2023 artfynd.xlsx", "A 14496-2023")</f>
        <v/>
      </c>
      <c r="X104">
        <f>HYPERLINK("https://klasma.github.io/Logging_0781/kartor/A 14496-2023 karta.png", "A 14496-2023")</f>
        <v/>
      </c>
      <c r="Y104">
        <f>HYPERLINK("https://klasma.github.io/Logging_0781/kartor_geotiff/A 14496-2023 georefererad karta.tif", "A 14496-2023")</f>
        <v/>
      </c>
      <c r="AA104">
        <f>HYPERLINK("https://klasma.github.io/Logging_0781/klagomål/A 14496-2023 FSC-klagomål.docx", "A 14496-2023")</f>
        <v/>
      </c>
      <c r="AB104">
        <f>HYPERLINK("https://klasma.github.io/Logging_0781/klagomålsmail/A 14496-2023 FSC-klagomål mail.docx", "A 14496-2023")</f>
        <v/>
      </c>
      <c r="AC104">
        <f>HYPERLINK("https://klasma.github.io/Logging_0781/tillsyn/A 14496-2023 tillsynsbegäran.docx", "A 14496-2023")</f>
        <v/>
      </c>
      <c r="AD104">
        <f>HYPERLINK("https://klasma.github.io/Logging_0781/tillsynsmail/A 14496-2023 tillsynsbegäran mail.docx", "A 14496-2023")</f>
        <v/>
      </c>
    </row>
    <row r="105" ht="15" customHeight="1">
      <c r="A105" t="inlineStr">
        <is>
          <t>A 64830-2023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45282</v>
      </c>
      <c r="E105" s="1" t="n">
        <v>46284</v>
      </c>
      <c r="F105" t="inlineStr">
        <is>
          <t>KRONOBERGS LÄN</t>
        </is>
      </c>
      <c r="G105" t="inlineStr">
        <is>
          <t>LJUNGBY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Mattlummer</t>
        </is>
      </c>
      <c r="W105">
        <f>HYPERLINK("https://klasma.github.io/Logging_0781/artfynd/A 64830-2023 artfynd.xlsx", "A 64830-2023")</f>
        <v/>
      </c>
      <c r="X105">
        <f>HYPERLINK("https://klasma.github.io/Logging_0781/kartor/A 64830-2023 karta.png", "A 64830-2023")</f>
        <v/>
      </c>
      <c r="Y105">
        <f>HYPERLINK("https://klasma.github.io/Logging_0781/kartor_geotiff/A 64830-2023 georefererad karta.tif", "A 64830-2023")</f>
        <v/>
      </c>
      <c r="AA105">
        <f>HYPERLINK("https://klasma.github.io/Logging_0781/klagomål/A 64830-2023 FSC-klagomål.docx", "A 64830-2023")</f>
        <v/>
      </c>
      <c r="AB105">
        <f>HYPERLINK("https://klasma.github.io/Logging_0781/klagomålsmail/A 64830-2023 FSC-klagomål mail.docx", "A 64830-2023")</f>
        <v/>
      </c>
      <c r="AC105">
        <f>HYPERLINK("https://klasma.github.io/Logging_0781/tillsyn/A 64830-2023 tillsynsbegäran.docx", "A 64830-2023")</f>
        <v/>
      </c>
      <c r="AD105">
        <f>HYPERLINK("https://klasma.github.io/Logging_0781/tillsynsmail/A 64830-2023 tillsynsbegäran mail.docx", "A 64830-2023")</f>
        <v/>
      </c>
    </row>
    <row r="106" ht="15" customHeight="1">
      <c r="A106" t="inlineStr">
        <is>
          <t>A 28134-2026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46284</v>
      </c>
      <c r="F106" t="inlineStr">
        <is>
          <t>KRONOBERGS LÄN</t>
        </is>
      </c>
      <c r="G106" t="inlineStr">
        <is>
          <t>LJUNGBY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HYPERLINK("https://klasma.github.io/Logging_0781/artfynd/A 28134-2026 artfynd.xlsx", "A 28134-2026")</f>
        <v/>
      </c>
      <c r="X106">
        <f>HYPERLINK("https://klasma.github.io/Logging_0781/kartor/A 28134-2026 karta.png", "A 28134-2026")</f>
        <v/>
      </c>
      <c r="Y106">
        <f>HYPERLINK("https://klasma.github.io/Logging_0781/kartor_geotiff/A 28134-2026 georefererad karta.tif", "A 28134-2026")</f>
        <v/>
      </c>
      <c r="AA106">
        <f>HYPERLINK("https://klasma.github.io/Logging_0781/klagomål/A 28134-2026 FSC-klagomål.docx", "A 28134-2026")</f>
        <v/>
      </c>
      <c r="AB106">
        <f>HYPERLINK("https://klasma.github.io/Logging_0781/klagomålsmail/A 28134-2026 FSC-klagomål mail.docx", "A 28134-2026")</f>
        <v/>
      </c>
      <c r="AC106">
        <f>HYPERLINK("https://klasma.github.io/Logging_0781/tillsyn/A 28134-2026 tillsynsbegäran.docx", "A 28134-2026")</f>
        <v/>
      </c>
      <c r="AD106">
        <f>HYPERLINK("https://klasma.github.io/Logging_0781/tillsynsmail/A 28134-2026 tillsynsbegäran mail.docx", "A 28134-2026")</f>
        <v/>
      </c>
      <c r="AE106">
        <f>HYPERLINK("https://klasma.github.io/Logging_0781/fåglar/A 28134-2026 prioriterade fågelarter.docx", "A 28134-2026")</f>
        <v/>
      </c>
    </row>
    <row r="107" ht="15" customHeight="1">
      <c r="A107" t="inlineStr">
        <is>
          <t>A 15671-2026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46284</v>
      </c>
      <c r="F107" t="inlineStr">
        <is>
          <t>KRONOBERGS LÄN</t>
        </is>
      </c>
      <c r="G107" t="inlineStr">
        <is>
          <t>LJUNGBY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Tofsmes</t>
        </is>
      </c>
      <c r="W107">
        <f>HYPERLINK("https://klasma.github.io/Logging_0781/artfynd/A 15671-2026 artfynd.xlsx", "A 15671-2026")</f>
        <v/>
      </c>
      <c r="X107">
        <f>HYPERLINK("https://klasma.github.io/Logging_0781/kartor/A 15671-2026 karta.png", "A 15671-2026")</f>
        <v/>
      </c>
      <c r="Y107">
        <f>HYPERLINK("https://klasma.github.io/Logging_0781/kartor_geotiff/A 15671-2026 georefererad karta.tif", "A 15671-2026")</f>
        <v/>
      </c>
      <c r="AA107">
        <f>HYPERLINK("https://klasma.github.io/Logging_0781/klagomål/A 15671-2026 FSC-klagomål.docx", "A 15671-2026")</f>
        <v/>
      </c>
      <c r="AB107">
        <f>HYPERLINK("https://klasma.github.io/Logging_0781/klagomålsmail/A 15671-2026 FSC-klagomål mail.docx", "A 15671-2026")</f>
        <v/>
      </c>
      <c r="AC107">
        <f>HYPERLINK("https://klasma.github.io/Logging_0781/tillsyn/A 15671-2026 tillsynsbegäran.docx", "A 15671-2026")</f>
        <v/>
      </c>
      <c r="AD107">
        <f>HYPERLINK("https://klasma.github.io/Logging_0781/tillsynsmail/A 15671-2026 tillsynsbegäran mail.docx", "A 15671-2026")</f>
        <v/>
      </c>
    </row>
    <row r="108" ht="15" customHeight="1">
      <c r="A108" t="inlineStr">
        <is>
          <t>A 5614-2024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46284</v>
      </c>
      <c r="F108" t="inlineStr">
        <is>
          <t>KRONOBERGS LÄN</t>
        </is>
      </c>
      <c r="G108" t="inlineStr">
        <is>
          <t>LJUNGBY</t>
        </is>
      </c>
      <c r="H108" t="inlineStr">
        <is>
          <t>Kommuner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HYPERLINK("https://klasma.github.io/Logging_0781/artfynd/A 5614-2024 artfynd.xlsx", "A 5614-2024")</f>
        <v/>
      </c>
      <c r="X108">
        <f>HYPERLINK("https://klasma.github.io/Logging_0781/kartor/A 5614-2024 karta.png", "A 5614-2024")</f>
        <v/>
      </c>
      <c r="Y108">
        <f>HYPERLINK("https://klasma.github.io/Logging_0781/kartor_geotiff/A 5614-2024 georefererad karta.tif", "A 5614-2024")</f>
        <v/>
      </c>
      <c r="AA108">
        <f>HYPERLINK("https://klasma.github.io/Logging_0781/klagomål/A 5614-2024 FSC-klagomål.docx", "A 5614-2024")</f>
        <v/>
      </c>
      <c r="AB108">
        <f>HYPERLINK("https://klasma.github.io/Logging_0781/klagomålsmail/A 5614-2024 FSC-klagomål mail.docx", "A 5614-2024")</f>
        <v/>
      </c>
      <c r="AC108">
        <f>HYPERLINK("https://klasma.github.io/Logging_0781/tillsyn/A 5614-2024 tillsynsbegäran.docx", "A 5614-2024")</f>
        <v/>
      </c>
      <c r="AD108">
        <f>HYPERLINK("https://klasma.github.io/Logging_0781/tillsynsmail/A 5614-2024 tillsynsbegäran mail.docx", "A 5614-2024")</f>
        <v/>
      </c>
    </row>
    <row r="109" ht="15" customHeight="1">
      <c r="A109" t="inlineStr">
        <is>
          <t>A 13460-2023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46284</v>
      </c>
      <c r="F109" t="inlineStr">
        <is>
          <t>KRONOBERGS LÄN</t>
        </is>
      </c>
      <c r="G109" t="inlineStr">
        <is>
          <t>LJUNGBY</t>
        </is>
      </c>
      <c r="I109" t="n">
        <v>5.1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HYPERLINK("https://klasma.github.io/Logging_0781/artfynd/A 13460-2023 artfynd.xlsx", "A 13460-2023")</f>
        <v/>
      </c>
      <c r="X109">
        <f>HYPERLINK("https://klasma.github.io/Logging_0781/kartor/A 13460-2023 karta.png", "A 13460-2023")</f>
        <v/>
      </c>
      <c r="Y109">
        <f>HYPERLINK("https://klasma.github.io/Logging_0781/kartor_geotiff/A 13460-2023 georefererad karta.tif", "A 13460-2023")</f>
        <v/>
      </c>
      <c r="AA109">
        <f>HYPERLINK("https://klasma.github.io/Logging_0781/klagomål/A 13460-2023 FSC-klagomål.docx", "A 13460-2023")</f>
        <v/>
      </c>
      <c r="AB109">
        <f>HYPERLINK("https://klasma.github.io/Logging_0781/klagomålsmail/A 13460-2023 FSC-klagomål mail.docx", "A 13460-2023")</f>
        <v/>
      </c>
      <c r="AC109">
        <f>HYPERLINK("https://klasma.github.io/Logging_0781/tillsyn/A 13460-2023 tillsynsbegäran.docx", "A 13460-2023")</f>
        <v/>
      </c>
      <c r="AD109">
        <f>HYPERLINK("https://klasma.github.io/Logging_0781/tillsynsmail/A 13460-2023 tillsynsbegäran mail.docx", "A 13460-2023")</f>
        <v/>
      </c>
      <c r="AE109">
        <f>HYPERLINK("https://klasma.github.io/Logging_0781/fåglar/A 13460-2023 prioriterade fågelarter.docx", "A 13460-2023")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46284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29769-2026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46204</v>
      </c>
      <c r="E111" s="1" t="n">
        <v>46284</v>
      </c>
      <c r="F111" t="inlineStr">
        <is>
          <t>KRONOBERGS LÄN</t>
        </is>
      </c>
      <c r="G111" t="inlineStr">
        <is>
          <t>LJUNGBY</t>
        </is>
      </c>
      <c r="I111" t="n">
        <v>2.2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HYPERLINK("https://klasma.github.io/Logging_0781/artfynd/A 29769-2026 artfynd.xlsx", "A 29769-2026")</f>
        <v/>
      </c>
      <c r="X111">
        <f>HYPERLINK("https://klasma.github.io/Logging_0781/kartor/A 29769-2026 karta.png", "A 29769-2026")</f>
        <v/>
      </c>
      <c r="Y111">
        <f>HYPERLINK("https://klasma.github.io/Logging_0781/kartor_geotiff/A 29769-2026 georefererad karta.tif", "A 29769-2026")</f>
        <v/>
      </c>
      <c r="AA111">
        <f>HYPERLINK("https://klasma.github.io/Logging_0781/klagomål/A 29769-2026 FSC-klagomål.docx", "A 29769-2026")</f>
        <v/>
      </c>
      <c r="AB111">
        <f>HYPERLINK("https://klasma.github.io/Logging_0781/klagomålsmail/A 29769-2026 FSC-klagomål mail.docx", "A 29769-2026")</f>
        <v/>
      </c>
      <c r="AC111">
        <f>HYPERLINK("https://klasma.github.io/Logging_0781/tillsyn/A 29769-2026 tillsynsbegäran.docx", "A 29769-2026")</f>
        <v/>
      </c>
      <c r="AD111">
        <f>HYPERLINK("https://klasma.github.io/Logging_0781/tillsynsmail/A 29769-2026 tillsynsbegäran mail.docx", "A 29769-2026")</f>
        <v/>
      </c>
    </row>
    <row r="112" ht="15" customHeight="1">
      <c r="A112" t="inlineStr">
        <is>
          <t>A 57750-2023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46284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Svart skogssnigel</t>
        </is>
      </c>
      <c r="W112">
        <f>HYPERLINK("https://klasma.github.io/Logging_0781/artfynd/A 57750-2023 artfynd.xlsx", "A 57750-2023")</f>
        <v/>
      </c>
      <c r="X112">
        <f>HYPERLINK("https://klasma.github.io/Logging_0781/kartor/A 57750-2023 karta.png", "A 57750-2023")</f>
        <v/>
      </c>
      <c r="Y112">
        <f>HYPERLINK("https://klasma.github.io/Logging_0781/kartor_geotiff/A 57750-2023 georefererad karta.tif", "A 57750-2023")</f>
        <v/>
      </c>
      <c r="AA112">
        <f>HYPERLINK("https://klasma.github.io/Logging_0781/klagomål/A 57750-2023 FSC-klagomål.docx", "A 57750-2023")</f>
        <v/>
      </c>
      <c r="AB112">
        <f>HYPERLINK("https://klasma.github.io/Logging_0781/klagomålsmail/A 57750-2023 FSC-klagomål mail.docx", "A 57750-2023")</f>
        <v/>
      </c>
      <c r="AC112">
        <f>HYPERLINK("https://klasma.github.io/Logging_0781/tillsyn/A 57750-2023 tillsynsbegäran.docx", "A 57750-2023")</f>
        <v/>
      </c>
      <c r="AD112">
        <f>HYPERLINK("https://klasma.github.io/Logging_0781/tillsynsmail/A 57750-2023 tillsynsbegäran mail.docx", "A 57750-2023")</f>
        <v/>
      </c>
    </row>
    <row r="113" ht="15" customHeight="1">
      <c r="A113" t="inlineStr">
        <is>
          <t>A 40560-2024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45555</v>
      </c>
      <c r="E113" s="1" t="n">
        <v>46284</v>
      </c>
      <c r="F113" t="inlineStr">
        <is>
          <t>KRONOBERGS LÄN</t>
        </is>
      </c>
      <c r="G113" t="inlineStr">
        <is>
          <t>LJUNGBY</t>
        </is>
      </c>
      <c r="I113" t="n">
        <v>3.4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40560-2024 artfynd.xlsx", "A 40560-2024")</f>
        <v/>
      </c>
      <c r="X113">
        <f>HYPERLINK("https://klasma.github.io/Logging_0781/kartor/A 40560-2024 karta.png", "A 40560-2024")</f>
        <v/>
      </c>
      <c r="Y113">
        <f>HYPERLINK("https://klasma.github.io/Logging_0781/kartor_geotiff/A 40560-2024 georefererad karta.tif", "A 40560-2024")</f>
        <v/>
      </c>
      <c r="AA113">
        <f>HYPERLINK("https://klasma.github.io/Logging_0781/klagomål/A 40560-2024 FSC-klagomål.docx", "A 40560-2024")</f>
        <v/>
      </c>
      <c r="AB113">
        <f>HYPERLINK("https://klasma.github.io/Logging_0781/klagomålsmail/A 40560-2024 FSC-klagomål mail.docx", "A 40560-2024")</f>
        <v/>
      </c>
      <c r="AC113">
        <f>HYPERLINK("https://klasma.github.io/Logging_0781/tillsyn/A 40560-2024 tillsynsbegäran.docx", "A 40560-2024")</f>
        <v/>
      </c>
      <c r="AD113">
        <f>HYPERLINK("https://klasma.github.io/Logging_0781/tillsynsmail/A 40560-2024 tillsynsbegäran mail.docx", "A 40560-2024")</f>
        <v/>
      </c>
      <c r="AE113">
        <f>HYPERLINK("https://klasma.github.io/Logging_0781/fåglar/A 40560-2024 prioriterade fågelarter.docx", "A 40560-2024")</f>
        <v/>
      </c>
    </row>
    <row r="114" ht="15" customHeight="1">
      <c r="A114" t="inlineStr">
        <is>
          <t>A 21039-2023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46284</v>
      </c>
      <c r="F114" t="inlineStr">
        <is>
          <t>KRONOBERGS LÄN</t>
        </is>
      </c>
      <c r="G114" t="inlineStr">
        <is>
          <t>LJUNGBY</t>
        </is>
      </c>
      <c r="I114" t="n">
        <v>4.3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Fläcknycklar</t>
        </is>
      </c>
      <c r="W114">
        <f>HYPERLINK("https://klasma.github.io/Logging_0781/artfynd/A 21039-2023 artfynd.xlsx", "A 21039-2023")</f>
        <v/>
      </c>
      <c r="X114">
        <f>HYPERLINK("https://klasma.github.io/Logging_0781/kartor/A 21039-2023 karta.png", "A 21039-2023")</f>
        <v/>
      </c>
      <c r="Y114">
        <f>HYPERLINK("https://klasma.github.io/Logging_0781/kartor_geotiff/A 21039-2023 georefererad karta.tif", "A 21039-2023")</f>
        <v/>
      </c>
      <c r="AA114">
        <f>HYPERLINK("https://klasma.github.io/Logging_0781/klagomål/A 21039-2023 FSC-klagomål.docx", "A 21039-2023")</f>
        <v/>
      </c>
      <c r="AB114">
        <f>HYPERLINK("https://klasma.github.io/Logging_0781/klagomålsmail/A 21039-2023 FSC-klagomål mail.docx", "A 21039-2023")</f>
        <v/>
      </c>
      <c r="AC114">
        <f>HYPERLINK("https://klasma.github.io/Logging_0781/tillsyn/A 21039-2023 tillsynsbegäran.docx", "A 21039-2023")</f>
        <v/>
      </c>
      <c r="AD114">
        <f>HYPERLINK("https://klasma.github.io/Logging_0781/tillsynsmail/A 21039-2023 tillsynsbegäran mail.docx", "A 21039-2023")</f>
        <v/>
      </c>
    </row>
    <row r="115" ht="15" customHeight="1">
      <c r="A115" t="inlineStr">
        <is>
          <t>A 11508-2024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46284</v>
      </c>
      <c r="F115" t="inlineStr">
        <is>
          <t>KRONOBERGS LÄN</t>
        </is>
      </c>
      <c r="G115" t="inlineStr">
        <is>
          <t>LJUNGBY</t>
        </is>
      </c>
      <c r="I115" t="n">
        <v>1.5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Fläcknycklar</t>
        </is>
      </c>
      <c r="W115">
        <f>HYPERLINK("https://klasma.github.io/Logging_0781/artfynd/A 11508-2024 artfynd.xlsx", "A 11508-2024")</f>
        <v/>
      </c>
      <c r="X115">
        <f>HYPERLINK("https://klasma.github.io/Logging_0781/kartor/A 11508-2024 karta.png", "A 11508-2024")</f>
        <v/>
      </c>
      <c r="Y115">
        <f>HYPERLINK("https://klasma.github.io/Logging_0781/kartor_geotiff/A 11508-2024 georefererad karta.tif", "A 11508-2024")</f>
        <v/>
      </c>
      <c r="AA115">
        <f>HYPERLINK("https://klasma.github.io/Logging_0781/klagomål/A 11508-2024 FSC-klagomål.docx", "A 11508-2024")</f>
        <v/>
      </c>
      <c r="AB115">
        <f>HYPERLINK("https://klasma.github.io/Logging_0781/klagomålsmail/A 11508-2024 FSC-klagomål mail.docx", "A 11508-2024")</f>
        <v/>
      </c>
      <c r="AC115">
        <f>HYPERLINK("https://klasma.github.io/Logging_0781/tillsyn/A 11508-2024 tillsynsbegäran.docx", "A 11508-2024")</f>
        <v/>
      </c>
      <c r="AD115">
        <f>HYPERLINK("https://klasma.github.io/Logging_0781/tillsynsmail/A 11508-2024 tillsynsbegäran mail.docx", "A 11508-2024")</f>
        <v/>
      </c>
    </row>
    <row r="116" ht="15" customHeight="1">
      <c r="A116" t="inlineStr">
        <is>
          <t>A 15426-2023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45020</v>
      </c>
      <c r="E116" s="1" t="n">
        <v>46284</v>
      </c>
      <c r="F116" t="inlineStr">
        <is>
          <t>KRONOBERGS LÄN</t>
        </is>
      </c>
      <c r="G116" t="inlineStr">
        <is>
          <t>LJUNGBY</t>
        </is>
      </c>
      <c r="H116" t="inlineStr">
        <is>
          <t>Kyrkan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Myskmadra</t>
        </is>
      </c>
      <c r="W116">
        <f>HYPERLINK("https://klasma.github.io/Logging_0781/artfynd/A 15426-2023 artfynd.xlsx", "A 15426-2023")</f>
        <v/>
      </c>
      <c r="X116">
        <f>HYPERLINK("https://klasma.github.io/Logging_0781/kartor/A 15426-2023 karta.png", "A 15426-2023")</f>
        <v/>
      </c>
      <c r="Y116">
        <f>HYPERLINK("https://klasma.github.io/Logging_0781/kartor_geotiff/A 15426-2023 georefererad karta.tif", "A 15426-2023")</f>
        <v/>
      </c>
      <c r="AA116">
        <f>HYPERLINK("https://klasma.github.io/Logging_0781/klagomål/A 15426-2023 FSC-klagomål.docx", "A 15426-2023")</f>
        <v/>
      </c>
      <c r="AB116">
        <f>HYPERLINK("https://klasma.github.io/Logging_0781/klagomålsmail/A 15426-2023 FSC-klagomål mail.docx", "A 15426-2023")</f>
        <v/>
      </c>
      <c r="AC116">
        <f>HYPERLINK("https://klasma.github.io/Logging_0781/tillsyn/A 15426-2023 tillsynsbegäran.docx", "A 15426-2023")</f>
        <v/>
      </c>
      <c r="AD116">
        <f>HYPERLINK("https://klasma.github.io/Logging_0781/tillsynsmail/A 15426-2023 tillsynsbegäran mail.docx", "A 15426-2023")</f>
        <v/>
      </c>
    </row>
    <row r="117" ht="15" customHeight="1">
      <c r="A117" t="inlineStr">
        <is>
          <t>A 15922-2025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45749</v>
      </c>
      <c r="E117" s="1" t="n">
        <v>46284</v>
      </c>
      <c r="F117" t="inlineStr">
        <is>
          <t>KRONOBERGS LÄN</t>
        </is>
      </c>
      <c r="G117" t="inlineStr">
        <is>
          <t>LJUNGBY</t>
        </is>
      </c>
      <c r="I117" t="n">
        <v>4.4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Kungsörn</t>
        </is>
      </c>
      <c r="W117">
        <f>HYPERLINK("https://klasma.github.io/Logging_0781/artfynd/A 15922-2025 artfynd.xlsx", "A 15922-2025")</f>
        <v/>
      </c>
      <c r="X117">
        <f>HYPERLINK("https://klasma.github.io/Logging_0781/kartor/A 15922-2025 karta.png", "A 15922-2025")</f>
        <v/>
      </c>
      <c r="Y117">
        <f>HYPERLINK("https://klasma.github.io/Logging_0781/kartor_geotiff/A 15922-2025 georefererad karta.tif", "A 15922-2025")</f>
        <v/>
      </c>
      <c r="AA117">
        <f>HYPERLINK("https://klasma.github.io/Logging_0781/klagomål/A 15922-2025 FSC-klagomål.docx", "A 15922-2025")</f>
        <v/>
      </c>
      <c r="AB117">
        <f>HYPERLINK("https://klasma.github.io/Logging_0781/klagomålsmail/A 15922-2025 FSC-klagomål mail.docx", "A 15922-2025")</f>
        <v/>
      </c>
      <c r="AC117">
        <f>HYPERLINK("https://klasma.github.io/Logging_0781/tillsyn/A 15922-2025 tillsynsbegäran.docx", "A 15922-2025")</f>
        <v/>
      </c>
      <c r="AD117">
        <f>HYPERLINK("https://klasma.github.io/Logging_0781/tillsynsmail/A 15922-2025 tillsynsbegäran mail.docx", "A 15922-2025")</f>
        <v/>
      </c>
      <c r="AE117">
        <f>HYPERLINK("https://klasma.github.io/Logging_0781/fåglar/A 15922-2025 prioriterade fågelarter.docx", "A 15922-2025")</f>
        <v/>
      </c>
    </row>
    <row r="118" ht="15" customHeight="1">
      <c r="A118" t="inlineStr">
        <is>
          <t>A 35931-2026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46266</v>
      </c>
      <c r="E118" s="1" t="n">
        <v>46284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3.5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35931-2026 artfynd.xlsx", "A 35931-2026")</f>
        <v/>
      </c>
      <c r="X118">
        <f>HYPERLINK("https://klasma.github.io/Logging_0781/kartor/A 35931-2026 karta.png", "A 35931-2026")</f>
        <v/>
      </c>
      <c r="Y118">
        <f>HYPERLINK("https://klasma.github.io/Logging_0781/kartor_geotiff/A 35931-2026 georefererad karta.tif", "A 35931-2026")</f>
        <v/>
      </c>
      <c r="AA118">
        <f>HYPERLINK("https://klasma.github.io/Logging_0781/klagomål/A 35931-2026 FSC-klagomål.docx", "A 35931-2026")</f>
        <v/>
      </c>
      <c r="AB118">
        <f>HYPERLINK("https://klasma.github.io/Logging_0781/klagomålsmail/A 35931-2026 FSC-klagomål mail.docx", "A 35931-2026")</f>
        <v/>
      </c>
      <c r="AC118">
        <f>HYPERLINK("https://klasma.github.io/Logging_0781/tillsyn/A 35931-2026 tillsynsbegäran.docx", "A 35931-2026")</f>
        <v/>
      </c>
      <c r="AD118">
        <f>HYPERLINK("https://klasma.github.io/Logging_0781/tillsynsmail/A 35931-2026 tillsynsbegäran mail.docx", "A 35931-2026")</f>
        <v/>
      </c>
      <c r="AE118">
        <f>HYPERLINK("https://klasma.github.io/Logging_0781/fåglar/A 35931-2026 prioriterade fågelarter.docx", "A 35931-2026")</f>
        <v/>
      </c>
    </row>
    <row r="119" ht="15" customHeight="1">
      <c r="A119" t="inlineStr">
        <is>
          <t>A 40911-2024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46284</v>
      </c>
      <c r="F119" t="inlineStr">
        <is>
          <t>KRONOBERGS LÄN</t>
        </is>
      </c>
      <c r="G119" t="inlineStr">
        <is>
          <t>LJUNGBY</t>
        </is>
      </c>
      <c r="H119" t="inlineStr">
        <is>
          <t>Sveaskog</t>
        </is>
      </c>
      <c r="I119" t="n">
        <v>9.1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HYPERLINK("https://klasma.github.io/Logging_0781/artfynd/A 40911-2024 artfynd.xlsx", "A 40911-2024")</f>
        <v/>
      </c>
      <c r="X119">
        <f>HYPERLINK("https://klasma.github.io/Logging_0781/kartor/A 40911-2024 karta.png", "A 40911-2024")</f>
        <v/>
      </c>
      <c r="Y119">
        <f>HYPERLINK("https://klasma.github.io/Logging_0781/kartor_geotiff/A 40911-2024 georefererad karta.tif", "A 40911-2024")</f>
        <v/>
      </c>
      <c r="AA119">
        <f>HYPERLINK("https://klasma.github.io/Logging_0781/klagomål/A 40911-2024 FSC-klagomål.docx", "A 40911-2024")</f>
        <v/>
      </c>
      <c r="AB119">
        <f>HYPERLINK("https://klasma.github.io/Logging_0781/klagomålsmail/A 40911-2024 FSC-klagomål mail.docx", "A 40911-2024")</f>
        <v/>
      </c>
      <c r="AC119">
        <f>HYPERLINK("https://klasma.github.io/Logging_0781/tillsyn/A 40911-2024 tillsynsbegäran.docx", "A 40911-2024")</f>
        <v/>
      </c>
      <c r="AD119">
        <f>HYPERLINK("https://klasma.github.io/Logging_0781/tillsynsmail/A 40911-2024 tillsynsbegäran mail.docx", "A 40911-2024")</f>
        <v/>
      </c>
    </row>
    <row r="120" ht="15" customHeight="1">
      <c r="A120" t="inlineStr">
        <is>
          <t>A 37929-2026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46280</v>
      </c>
      <c r="E120" s="1" t="n">
        <v>46284</v>
      </c>
      <c r="F120" t="inlineStr">
        <is>
          <t>KRONOBERGS LÄN</t>
        </is>
      </c>
      <c r="G120" t="inlineStr">
        <is>
          <t>LJUNGBY</t>
        </is>
      </c>
      <c r="I120" t="n">
        <v>2.6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Fällmossa</t>
        </is>
      </c>
      <c r="W120">
        <f>HYPERLINK("https://klasma.github.io/Logging_0781/artfynd/A 37929-2026 artfynd.xlsx", "A 37929-2026")</f>
        <v/>
      </c>
      <c r="X120">
        <f>HYPERLINK("https://klasma.github.io/Logging_0781/kartor/A 37929-2026 karta.png", "A 37929-2026")</f>
        <v/>
      </c>
      <c r="Y120">
        <f>HYPERLINK("https://klasma.github.io/Logging_0781/kartor_geotiff/A 37929-2026 georefererad karta.tif", "A 37929-2026")</f>
        <v/>
      </c>
      <c r="AA120">
        <f>HYPERLINK("https://klasma.github.io/Logging_0781/klagomål/A 37929-2026 FSC-klagomål.docx", "A 37929-2026")</f>
        <v/>
      </c>
      <c r="AB120">
        <f>HYPERLINK("https://klasma.github.io/Logging_0781/klagomålsmail/A 37929-2026 FSC-klagomål mail.docx", "A 37929-2026")</f>
        <v/>
      </c>
      <c r="AC120">
        <f>HYPERLINK("https://klasma.github.io/Logging_0781/tillsyn/A 37929-2026 tillsynsbegäran.docx", "A 37929-2026")</f>
        <v/>
      </c>
      <c r="AD120">
        <f>HYPERLINK("https://klasma.github.io/Logging_0781/tillsynsmail/A 37929-2026 tillsynsbegäran mail.docx", "A 37929-2026")</f>
        <v/>
      </c>
    </row>
    <row r="121" ht="15" customHeight="1">
      <c r="A121" t="inlineStr">
        <is>
          <t>A 30862-2025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46284</v>
      </c>
      <c r="F121" t="inlineStr">
        <is>
          <t>KRONOBERGS LÄN</t>
        </is>
      </c>
      <c r="G121" t="inlineStr">
        <is>
          <t>LJUNGBY</t>
        </is>
      </c>
      <c r="I121" t="n">
        <v>13.7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Slåttergubbe</t>
        </is>
      </c>
      <c r="W121">
        <f>HYPERLINK("https://klasma.github.io/Logging_0781/artfynd/A 30862-2025 artfynd.xlsx", "A 30862-2025")</f>
        <v/>
      </c>
      <c r="X121">
        <f>HYPERLINK("https://klasma.github.io/Logging_0781/kartor/A 30862-2025 karta.png", "A 30862-2025")</f>
        <v/>
      </c>
      <c r="Y121">
        <f>HYPERLINK("https://klasma.github.io/Logging_0781/kartor_geotiff/A 30862-2025 georefererad karta.tif", "A 30862-2025")</f>
        <v/>
      </c>
      <c r="AA121">
        <f>HYPERLINK("https://klasma.github.io/Logging_0781/klagomål/A 30862-2025 FSC-klagomål.docx", "A 30862-2025")</f>
        <v/>
      </c>
      <c r="AB121">
        <f>HYPERLINK("https://klasma.github.io/Logging_0781/klagomålsmail/A 30862-2025 FSC-klagomål mail.docx", "A 30862-2025")</f>
        <v/>
      </c>
      <c r="AC121">
        <f>HYPERLINK("https://klasma.github.io/Logging_0781/tillsyn/A 30862-2025 tillsynsbegäran.docx", "A 30862-2025")</f>
        <v/>
      </c>
      <c r="AD121">
        <f>HYPERLINK("https://klasma.github.io/Logging_0781/tillsynsmail/A 30862-2025 tillsynsbegäran mail.docx", "A 30862-2025")</f>
        <v/>
      </c>
    </row>
    <row r="122" ht="15" customHeight="1">
      <c r="A122" t="inlineStr">
        <is>
          <t>A 31604-2025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46284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Borsttåg</t>
        </is>
      </c>
      <c r="W122">
        <f>HYPERLINK("https://klasma.github.io/Logging_0781/artfynd/A 31604-2025 artfynd.xlsx", "A 31604-2025")</f>
        <v/>
      </c>
      <c r="X122">
        <f>HYPERLINK("https://klasma.github.io/Logging_0781/kartor/A 31604-2025 karta.png", "A 31604-2025")</f>
        <v/>
      </c>
      <c r="Y122">
        <f>HYPERLINK("https://klasma.github.io/Logging_0781/kartor_geotiff/A 31604-2025 georefererad karta.tif", "A 31604-2025")</f>
        <v/>
      </c>
      <c r="AA122">
        <f>HYPERLINK("https://klasma.github.io/Logging_0781/klagomål/A 31604-2025 FSC-klagomål.docx", "A 31604-2025")</f>
        <v/>
      </c>
      <c r="AB122">
        <f>HYPERLINK("https://klasma.github.io/Logging_0781/klagomålsmail/A 31604-2025 FSC-klagomål mail.docx", "A 31604-2025")</f>
        <v/>
      </c>
      <c r="AC122">
        <f>HYPERLINK("https://klasma.github.io/Logging_0781/tillsyn/A 31604-2025 tillsynsbegäran.docx", "A 31604-2025")</f>
        <v/>
      </c>
      <c r="AD122">
        <f>HYPERLINK("https://klasma.github.io/Logging_0781/tillsynsmail/A 31604-2025 tillsynsbegäran mail.docx", "A 31604-2025")</f>
        <v/>
      </c>
    </row>
    <row r="123" ht="15" customHeight="1">
      <c r="A123" t="inlineStr">
        <is>
          <t>A 36514-2025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46284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6.2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Kambräken</t>
        </is>
      </c>
      <c r="W123">
        <f>HYPERLINK("https://klasma.github.io/Logging_0781/artfynd/A 36514-2025 artfynd.xlsx", "A 36514-2025")</f>
        <v/>
      </c>
      <c r="X123">
        <f>HYPERLINK("https://klasma.github.io/Logging_0781/kartor/A 36514-2025 karta.png", "A 36514-2025")</f>
        <v/>
      </c>
      <c r="Y123">
        <f>HYPERLINK("https://klasma.github.io/Logging_0781/kartor_geotiff/A 36514-2025 georefererad karta.tif", "A 36514-2025")</f>
        <v/>
      </c>
      <c r="AA123">
        <f>HYPERLINK("https://klasma.github.io/Logging_0781/klagomål/A 36514-2025 FSC-klagomål.docx", "A 36514-2025")</f>
        <v/>
      </c>
      <c r="AB123">
        <f>HYPERLINK("https://klasma.github.io/Logging_0781/klagomålsmail/A 36514-2025 FSC-klagomål mail.docx", "A 36514-2025")</f>
        <v/>
      </c>
      <c r="AC123">
        <f>HYPERLINK("https://klasma.github.io/Logging_0781/tillsyn/A 36514-2025 tillsynsbegäran.docx", "A 36514-2025")</f>
        <v/>
      </c>
      <c r="AD123">
        <f>HYPERLINK("https://klasma.github.io/Logging_0781/tillsynsmail/A 36514-2025 tillsynsbegäran mail.docx", "A 36514-2025")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46284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63304-2023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46284</v>
      </c>
      <c r="F125" t="inlineStr">
        <is>
          <t>KRONOBERGS LÄN</t>
        </is>
      </c>
      <c r="G125" t="inlineStr">
        <is>
          <t>LJUNGBY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Borsttåg</t>
        </is>
      </c>
      <c r="W125">
        <f>HYPERLINK("https://klasma.github.io/Logging_0781/artfynd/A 63304-2023 artfynd.xlsx", "A 63304-2023")</f>
        <v/>
      </c>
      <c r="X125">
        <f>HYPERLINK("https://klasma.github.io/Logging_0781/kartor/A 63304-2023 karta.png", "A 63304-2023")</f>
        <v/>
      </c>
      <c r="Y125">
        <f>HYPERLINK("https://klasma.github.io/Logging_0781/kartor_geotiff/A 63304-2023 georefererad karta.tif", "A 63304-2023")</f>
        <v/>
      </c>
      <c r="AA125">
        <f>HYPERLINK("https://klasma.github.io/Logging_0781/klagomål/A 63304-2023 FSC-klagomål.docx", "A 63304-2023")</f>
        <v/>
      </c>
      <c r="AB125">
        <f>HYPERLINK("https://klasma.github.io/Logging_0781/klagomålsmail/A 63304-2023 FSC-klagomål mail.docx", "A 63304-2023")</f>
        <v/>
      </c>
      <c r="AC125">
        <f>HYPERLINK("https://klasma.github.io/Logging_0781/tillsyn/A 63304-2023 tillsynsbegäran.docx", "A 63304-2023")</f>
        <v/>
      </c>
      <c r="AD125">
        <f>HYPERLINK("https://klasma.github.io/Logging_0781/tillsynsmail/A 63304-2023 tillsynsbegäran mail.docx", "A 63304-2023")</f>
        <v/>
      </c>
    </row>
    <row r="126" ht="15" customHeight="1">
      <c r="A126" t="inlineStr">
        <is>
          <t>A 51284-2021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46284</v>
      </c>
      <c r="F126" t="inlineStr">
        <is>
          <t>KRONOBERGS LÄN</t>
        </is>
      </c>
      <c r="G126" t="inlineStr">
        <is>
          <t>LJUNGBY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51284-2021 artfynd.xlsx", "A 51284-2021")</f>
        <v/>
      </c>
      <c r="X126">
        <f>HYPERLINK("https://klasma.github.io/Logging_0781/kartor/A 51284-2021 karta.png", "A 51284-2021")</f>
        <v/>
      </c>
      <c r="Y126">
        <f>HYPERLINK("https://klasma.github.io/Logging_0781/kartor_geotiff/A 51284-2021 georefererad karta.tif", "A 51284-2021")</f>
        <v/>
      </c>
      <c r="AA126">
        <f>HYPERLINK("https://klasma.github.io/Logging_0781/klagomål/A 51284-2021 FSC-klagomål.docx", "A 51284-2021")</f>
        <v/>
      </c>
      <c r="AB126">
        <f>HYPERLINK("https://klasma.github.io/Logging_0781/klagomålsmail/A 51284-2021 FSC-klagomål mail.docx", "A 51284-2021")</f>
        <v/>
      </c>
      <c r="AC126">
        <f>HYPERLINK("https://klasma.github.io/Logging_0781/tillsyn/A 51284-2021 tillsynsbegäran.docx", "A 51284-2021")</f>
        <v/>
      </c>
      <c r="AD126">
        <f>HYPERLINK("https://klasma.github.io/Logging_0781/tillsynsmail/A 51284-2021 tillsynsbegäran mail.docx", "A 51284-2021")</f>
        <v/>
      </c>
      <c r="AE126">
        <f>HYPERLINK("https://klasma.github.io/Logging_0781/fåglar/A 51284-2021 prioriterade fågelarter.docx", "A 51284-2021")</f>
        <v/>
      </c>
    </row>
    <row r="127" ht="15" customHeight="1">
      <c r="A127" t="inlineStr">
        <is>
          <t>A 37188-2025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46284</v>
      </c>
      <c r="F127" t="inlineStr">
        <is>
          <t>KRONOBERGS LÄN</t>
        </is>
      </c>
      <c r="G127" t="inlineStr">
        <is>
          <t>LJUNGBY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Gullpudra</t>
        </is>
      </c>
      <c r="W127">
        <f>HYPERLINK("https://klasma.github.io/Logging_0781/artfynd/A 37188-2025 artfynd.xlsx", "A 37188-2025")</f>
        <v/>
      </c>
      <c r="X127">
        <f>HYPERLINK("https://klasma.github.io/Logging_0781/kartor/A 37188-2025 karta.png", "A 37188-2025")</f>
        <v/>
      </c>
      <c r="Y127">
        <f>HYPERLINK("https://klasma.github.io/Logging_0781/kartor_geotiff/A 37188-2025 georefererad karta.tif", "A 37188-2025")</f>
        <v/>
      </c>
      <c r="AA127">
        <f>HYPERLINK("https://klasma.github.io/Logging_0781/klagomål/A 37188-2025 FSC-klagomål.docx", "A 37188-2025")</f>
        <v/>
      </c>
      <c r="AB127">
        <f>HYPERLINK("https://klasma.github.io/Logging_0781/klagomålsmail/A 37188-2025 FSC-klagomål mail.docx", "A 37188-2025")</f>
        <v/>
      </c>
      <c r="AC127">
        <f>HYPERLINK("https://klasma.github.io/Logging_0781/tillsyn/A 37188-2025 tillsynsbegäran.docx", "A 37188-2025")</f>
        <v/>
      </c>
      <c r="AD127">
        <f>HYPERLINK("https://klasma.github.io/Logging_0781/tillsynsmail/A 37188-2025 tillsynsbegäran mail.docx", "A 37188-2025")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46284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46284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46284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46284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46284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46284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46284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46284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46284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46284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46284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46284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46284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46284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46284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46284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46284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46284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46284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46284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46284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46284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46284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46284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46284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46284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46284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46284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46284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46284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46284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46284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46284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46284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46284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46284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46284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46284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46284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46284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46284</v>
      </c>
      <c r="F168" t="inlineStr">
        <is>
          <t>KRONOBERGS LÄN</t>
        </is>
      </c>
      <c r="G168" t="inlineStr">
        <is>
          <t>LJUNGBY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46284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46284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46284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46284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46284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46284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46284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46284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46284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46284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46284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46284</v>
      </c>
      <c r="F180" t="inlineStr">
        <is>
          <t>KRONOBERGS LÄN</t>
        </is>
      </c>
      <c r="G180" t="inlineStr">
        <is>
          <t>LJUNGBY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46284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46284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46284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46284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46284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46284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46284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46284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46284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46284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46284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46284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70400-2021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44536</v>
      </c>
      <c r="E193" s="1" t="n">
        <v>46284</v>
      </c>
      <c r="F193" t="inlineStr">
        <is>
          <t>KRONOBERGS LÄN</t>
        </is>
      </c>
      <c r="G193" t="inlineStr">
        <is>
          <t>LJUNGBY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46284</v>
      </c>
      <c r="F194" t="inlineStr">
        <is>
          <t>KRONOBERGS LÄN</t>
        </is>
      </c>
      <c r="G194" t="inlineStr">
        <is>
          <t>LJUNGBY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46284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46284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46284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46284</v>
      </c>
      <c r="F198" t="inlineStr">
        <is>
          <t>KRONOBERGS LÄN</t>
        </is>
      </c>
      <c r="G198" t="inlineStr">
        <is>
          <t>LJUNGBY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46284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46284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46284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46284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44517</v>
      </c>
      <c r="E203" s="1" t="n">
        <v>46284</v>
      </c>
      <c r="F203" t="inlineStr">
        <is>
          <t>KRONOBERGS LÄN</t>
        </is>
      </c>
      <c r="G203" t="inlineStr">
        <is>
          <t>LJUNGBY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44595</v>
      </c>
      <c r="E204" s="1" t="n">
        <v>46284</v>
      </c>
      <c r="F204" t="inlineStr">
        <is>
          <t>KRONOBERGS LÄN</t>
        </is>
      </c>
      <c r="G204" t="inlineStr">
        <is>
          <t>LJUNGBY</t>
        </is>
      </c>
      <c r="H204" t="inlineStr">
        <is>
          <t>Kyrkan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46284</v>
      </c>
      <c r="F205" t="inlineStr">
        <is>
          <t>KRONOBERGS LÄN</t>
        </is>
      </c>
      <c r="G205" t="inlineStr">
        <is>
          <t>LJUNGBY</t>
        </is>
      </c>
      <c r="H205" t="inlineStr">
        <is>
          <t>Kommuner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46284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46284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46284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44817</v>
      </c>
      <c r="E209" s="1" t="n">
        <v>46284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46284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46284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46284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46284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46284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44712</v>
      </c>
      <c r="E215" s="1" t="n">
        <v>46284</v>
      </c>
      <c r="F215" t="inlineStr">
        <is>
          <t>KRONOBERGS LÄN</t>
        </is>
      </c>
      <c r="G215" t="inlineStr">
        <is>
          <t>LJUNGBY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46284</v>
      </c>
      <c r="F216" t="inlineStr">
        <is>
          <t>KRONOBERGS LÄN</t>
        </is>
      </c>
      <c r="G216" t="inlineStr">
        <is>
          <t>LJUNGBY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37360-2022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44809</v>
      </c>
      <c r="E217" s="1" t="n">
        <v>46284</v>
      </c>
      <c r="F217" t="inlineStr">
        <is>
          <t>KRONOBERGS LÄN</t>
        </is>
      </c>
      <c r="G217" t="inlineStr">
        <is>
          <t>LJUNGBY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7273-2022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44606</v>
      </c>
      <c r="E218" s="1" t="n">
        <v>46284</v>
      </c>
      <c r="F218" t="inlineStr">
        <is>
          <t>KRONOBERGS LÄN</t>
        </is>
      </c>
      <c r="G218" t="inlineStr">
        <is>
          <t>LJUNGBY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46284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46284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46284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46284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46284</v>
      </c>
      <c r="F223" t="inlineStr">
        <is>
          <t>KRONOBERGS LÄN</t>
        </is>
      </c>
      <c r="G223" t="inlineStr">
        <is>
          <t>LJUNGBY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46284</v>
      </c>
      <c r="F224" t="inlineStr">
        <is>
          <t>KRONOBERGS LÄN</t>
        </is>
      </c>
      <c r="G224" t="inlineStr">
        <is>
          <t>LJUNGBY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46284</v>
      </c>
      <c r="F225" t="inlineStr">
        <is>
          <t>KRONOBERGS LÄN</t>
        </is>
      </c>
      <c r="G225" t="inlineStr">
        <is>
          <t>LJUNGBY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46284</v>
      </c>
      <c r="F226" t="inlineStr">
        <is>
          <t>KRONOBERGS LÄN</t>
        </is>
      </c>
      <c r="G226" t="inlineStr">
        <is>
          <t>LJUNGBY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46284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46662-2022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44850</v>
      </c>
      <c r="E228" s="1" t="n">
        <v>46284</v>
      </c>
      <c r="F228" t="inlineStr">
        <is>
          <t>KRONOBERGS LÄN</t>
        </is>
      </c>
      <c r="G228" t="inlineStr">
        <is>
          <t>LJUNGBY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46284</v>
      </c>
      <c r="F229" t="inlineStr">
        <is>
          <t>KRONOBERGS LÄN</t>
        </is>
      </c>
      <c r="G229" t="inlineStr">
        <is>
          <t>LJUNGBY</t>
        </is>
      </c>
      <c r="H229" t="inlineStr">
        <is>
          <t>Kommuner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46284</v>
      </c>
      <c r="F230" t="inlineStr">
        <is>
          <t>KRONOBERGS LÄN</t>
        </is>
      </c>
      <c r="G230" t="inlineStr">
        <is>
          <t>LJUNGBY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46284</v>
      </c>
      <c r="F231" t="inlineStr">
        <is>
          <t>KRONOBERGS LÄN</t>
        </is>
      </c>
      <c r="G231" t="inlineStr">
        <is>
          <t>LJUNGBY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46284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45065</v>
      </c>
      <c r="E233" s="1" t="n">
        <v>46284</v>
      </c>
      <c r="F233" t="inlineStr">
        <is>
          <t>KRONOBERGS LÄN</t>
        </is>
      </c>
      <c r="G233" t="inlineStr">
        <is>
          <t>LJUNGBY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46284</v>
      </c>
      <c r="F234" t="inlineStr">
        <is>
          <t>KRONOBERGS LÄN</t>
        </is>
      </c>
      <c r="G234" t="inlineStr">
        <is>
          <t>LJUNGBY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46284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46284</v>
      </c>
      <c r="F236" t="inlineStr">
        <is>
          <t>KRONOBERGS LÄN</t>
        </is>
      </c>
      <c r="G236" t="inlineStr">
        <is>
          <t>LJUNGBY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46284</v>
      </c>
      <c r="F237" t="inlineStr">
        <is>
          <t>KRONOBERGS LÄN</t>
        </is>
      </c>
      <c r="G237" t="inlineStr">
        <is>
          <t>LJUNGBY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46284</v>
      </c>
      <c r="F238" t="inlineStr">
        <is>
          <t>KRONOBERGS LÄN</t>
        </is>
      </c>
      <c r="G238" t="inlineStr">
        <is>
          <t>LJUNGBY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46284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46284</v>
      </c>
      <c r="F240" t="inlineStr">
        <is>
          <t>KRONOBERGS LÄN</t>
        </is>
      </c>
      <c r="G240" t="inlineStr">
        <is>
          <t>LJUNGBY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44874</v>
      </c>
      <c r="E241" s="1" t="n">
        <v>46284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46284</v>
      </c>
      <c r="F242" t="inlineStr">
        <is>
          <t>KRONOBERGS LÄN</t>
        </is>
      </c>
      <c r="G242" t="inlineStr">
        <is>
          <t>LJUNGBY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44617</v>
      </c>
      <c r="E243" s="1" t="n">
        <v>46284</v>
      </c>
      <c r="F243" t="inlineStr">
        <is>
          <t>KRONOBERGS LÄN</t>
        </is>
      </c>
      <c r="G243" t="inlineStr">
        <is>
          <t>LJUNGBY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45602</v>
      </c>
      <c r="E244" s="1" t="n">
        <v>46284</v>
      </c>
      <c r="F244" t="inlineStr">
        <is>
          <t>KRONOBERGS LÄN</t>
        </is>
      </c>
      <c r="G244" t="inlineStr">
        <is>
          <t>LJUNGBY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44985</v>
      </c>
      <c r="E245" s="1" t="n">
        <v>46284</v>
      </c>
      <c r="F245" t="inlineStr">
        <is>
          <t>KRONOBERGS LÄN</t>
        </is>
      </c>
      <c r="G245" t="inlineStr">
        <is>
          <t>LJUNGBY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46284</v>
      </c>
      <c r="F246" t="inlineStr">
        <is>
          <t>KRONOBERGS LÄN</t>
        </is>
      </c>
      <c r="G246" t="inlineStr">
        <is>
          <t>LJUNGBY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46284</v>
      </c>
      <c r="F247" t="inlineStr">
        <is>
          <t>KRONOBERGS LÄN</t>
        </is>
      </c>
      <c r="G247" t="inlineStr">
        <is>
          <t>LJUNGBY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46284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46284</v>
      </c>
      <c r="F249" t="inlineStr">
        <is>
          <t>KRONOBERGS LÄN</t>
        </is>
      </c>
      <c r="G249" t="inlineStr">
        <is>
          <t>LJUNGBY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45111</v>
      </c>
      <c r="E250" s="1" t="n">
        <v>46284</v>
      </c>
      <c r="F250" t="inlineStr">
        <is>
          <t>KRONOBERGS LÄN</t>
        </is>
      </c>
      <c r="G250" t="inlineStr">
        <is>
          <t>LJUNGBY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45110</v>
      </c>
      <c r="E251" s="1" t="n">
        <v>46284</v>
      </c>
      <c r="F251" t="inlineStr">
        <is>
          <t>KRONOBERGS LÄN</t>
        </is>
      </c>
      <c r="G251" t="inlineStr">
        <is>
          <t>LJUNGBY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44764</v>
      </c>
      <c r="E252" s="1" t="n">
        <v>46284</v>
      </c>
      <c r="F252" t="inlineStr">
        <is>
          <t>KRONOBERGS LÄN</t>
        </is>
      </c>
      <c r="G252" t="inlineStr">
        <is>
          <t>LJUNGBY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46284</v>
      </c>
      <c r="F253" t="inlineStr">
        <is>
          <t>KRONOBERGS LÄN</t>
        </is>
      </c>
      <c r="G253" t="inlineStr">
        <is>
          <t>LJUNGBY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46284</v>
      </c>
      <c r="F254" t="inlineStr">
        <is>
          <t>KRONOBERGS LÄN</t>
        </is>
      </c>
      <c r="G254" t="inlineStr">
        <is>
          <t>LJUNGBY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40511-2022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44823</v>
      </c>
      <c r="E255" s="1" t="n">
        <v>46284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44634</v>
      </c>
      <c r="E256" s="1" t="n">
        <v>46284</v>
      </c>
      <c r="F256" t="inlineStr">
        <is>
          <t>KRONOBERGS LÄN</t>
        </is>
      </c>
      <c r="G256" t="inlineStr">
        <is>
          <t>LJUNGBY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46284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46284</v>
      </c>
      <c r="F258" t="inlineStr">
        <is>
          <t>KRONOBERGS LÄN</t>
        </is>
      </c>
      <c r="G258" t="inlineStr">
        <is>
          <t>LJUNGBY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46284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44858</v>
      </c>
      <c r="E260" s="1" t="n">
        <v>46284</v>
      </c>
      <c r="F260" t="inlineStr">
        <is>
          <t>KRONOBERGS LÄN</t>
        </is>
      </c>
      <c r="G260" t="inlineStr">
        <is>
          <t>LJUNGBY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44959</v>
      </c>
      <c r="E261" s="1" t="n">
        <v>46284</v>
      </c>
      <c r="F261" t="inlineStr">
        <is>
          <t>KRONOBERGS LÄN</t>
        </is>
      </c>
      <c r="G261" t="inlineStr">
        <is>
          <t>LJUNGBY</t>
        </is>
      </c>
      <c r="H261" t="inlineStr">
        <is>
          <t>Sveaskog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45441</v>
      </c>
      <c r="E262" s="1" t="n">
        <v>46284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44634</v>
      </c>
      <c r="E263" s="1" t="n">
        <v>46284</v>
      </c>
      <c r="F263" t="inlineStr">
        <is>
          <t>KRONOBERGS LÄN</t>
        </is>
      </c>
      <c r="G263" t="inlineStr">
        <is>
          <t>LJUNGBY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46284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45181</v>
      </c>
      <c r="E265" s="1" t="n">
        <v>46284</v>
      </c>
      <c r="F265" t="inlineStr">
        <is>
          <t>KRONOBERGS LÄN</t>
        </is>
      </c>
      <c r="G265" t="inlineStr">
        <is>
          <t>LJUNGBY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46284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44852</v>
      </c>
      <c r="E267" s="1" t="n">
        <v>46284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45223</v>
      </c>
      <c r="E268" s="1" t="n">
        <v>46284</v>
      </c>
      <c r="F268" t="inlineStr">
        <is>
          <t>KRONOBERGS LÄN</t>
        </is>
      </c>
      <c r="G268" t="inlineStr">
        <is>
          <t>LJUNGBY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46284</v>
      </c>
      <c r="F269" t="inlineStr">
        <is>
          <t>KRONOBERGS LÄN</t>
        </is>
      </c>
      <c r="G269" t="inlineStr">
        <is>
          <t>LJUNGBY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46284</v>
      </c>
      <c r="F270" t="inlineStr">
        <is>
          <t>KRONOBERGS LÄN</t>
        </is>
      </c>
      <c r="G270" t="inlineStr">
        <is>
          <t>LJUNGBY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46284</v>
      </c>
      <c r="F271" t="inlineStr">
        <is>
          <t>KRONOBERGS LÄN</t>
        </is>
      </c>
      <c r="G271" t="inlineStr">
        <is>
          <t>LJUNGBY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46284</v>
      </c>
      <c r="F272" t="inlineStr">
        <is>
          <t>KRONOBERGS LÄN</t>
        </is>
      </c>
      <c r="G272" t="inlineStr">
        <is>
          <t>LJUNGBY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46284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44706</v>
      </c>
      <c r="E274" s="1" t="n">
        <v>46284</v>
      </c>
      <c r="F274" t="inlineStr">
        <is>
          <t>KRONOBERGS LÄN</t>
        </is>
      </c>
      <c r="G274" t="inlineStr">
        <is>
          <t>LJUNGBY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46284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46284</v>
      </c>
      <c r="F276" t="inlineStr">
        <is>
          <t>KRONOBERGS LÄN</t>
        </is>
      </c>
      <c r="G276" t="inlineStr">
        <is>
          <t>LJUNGBY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46284</v>
      </c>
      <c r="F277" t="inlineStr">
        <is>
          <t>KRONOBERGS LÄN</t>
        </is>
      </c>
      <c r="G277" t="inlineStr">
        <is>
          <t>LJUNGBY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46284</v>
      </c>
      <c r="F278" t="inlineStr">
        <is>
          <t>KRONOBERGS LÄN</t>
        </is>
      </c>
      <c r="G278" t="inlineStr">
        <is>
          <t>LJUNGBY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45278</v>
      </c>
      <c r="E279" s="1" t="n">
        <v>46284</v>
      </c>
      <c r="F279" t="inlineStr">
        <is>
          <t>KRONOBERGS LÄN</t>
        </is>
      </c>
      <c r="G279" t="inlineStr">
        <is>
          <t>LJUNGBY</t>
        </is>
      </c>
      <c r="H279" t="inlineStr">
        <is>
          <t>Kyrkan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39187-2022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44817</v>
      </c>
      <c r="E280" s="1" t="n">
        <v>46284</v>
      </c>
      <c r="F280" t="inlineStr">
        <is>
          <t>KRONOBERGS LÄN</t>
        </is>
      </c>
      <c r="G280" t="inlineStr">
        <is>
          <t>LJUNGBY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45272</v>
      </c>
      <c r="E281" s="1" t="n">
        <v>46284</v>
      </c>
      <c r="F281" t="inlineStr">
        <is>
          <t>KRONOBERGS LÄN</t>
        </is>
      </c>
      <c r="G281" t="inlineStr">
        <is>
          <t>LJUNGBY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46284</v>
      </c>
      <c r="F282" t="inlineStr">
        <is>
          <t>KRONOBERGS LÄN</t>
        </is>
      </c>
      <c r="G282" t="inlineStr">
        <is>
          <t>LJUNGBY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45183</v>
      </c>
      <c r="E283" s="1" t="n">
        <v>46284</v>
      </c>
      <c r="F283" t="inlineStr">
        <is>
          <t>KRONOBERGS LÄN</t>
        </is>
      </c>
      <c r="G283" t="inlineStr">
        <is>
          <t>LJUNGBY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46284</v>
      </c>
      <c r="F284" t="inlineStr">
        <is>
          <t>KRONOBERGS LÄN</t>
        </is>
      </c>
      <c r="G284" t="inlineStr">
        <is>
          <t>LJUNGBY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57737-2023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45246</v>
      </c>
      <c r="E285" s="1" t="n">
        <v>46284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45216</v>
      </c>
      <c r="E286" s="1" t="n">
        <v>46284</v>
      </c>
      <c r="F286" t="inlineStr">
        <is>
          <t>KRONOBERGS LÄN</t>
        </is>
      </c>
      <c r="G286" t="inlineStr">
        <is>
          <t>LJUNGBY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45260</v>
      </c>
      <c r="E287" s="1" t="n">
        <v>46284</v>
      </c>
      <c r="F287" t="inlineStr">
        <is>
          <t>KRONOBERGS LÄN</t>
        </is>
      </c>
      <c r="G287" t="inlineStr">
        <is>
          <t>LJUNGBY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45686</v>
      </c>
      <c r="E288" s="1" t="n">
        <v>46284</v>
      </c>
      <c r="F288" t="inlineStr">
        <is>
          <t>KRONOBERGS LÄN</t>
        </is>
      </c>
      <c r="G288" t="inlineStr">
        <is>
          <t>LJUNGBY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64691-2023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46284</v>
      </c>
      <c r="F289" t="inlineStr">
        <is>
          <t>KRONOBERGS LÄN</t>
        </is>
      </c>
      <c r="G289" t="inlineStr">
        <is>
          <t>LJUNGBY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46284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33122-2023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45126</v>
      </c>
      <c r="E291" s="1" t="n">
        <v>46284</v>
      </c>
      <c r="F291" t="inlineStr">
        <is>
          <t>KRONOBERGS LÄN</t>
        </is>
      </c>
      <c r="G291" t="inlineStr">
        <is>
          <t>LJUNGBY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8019-2024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45350</v>
      </c>
      <c r="E292" s="1" t="n">
        <v>46284</v>
      </c>
      <c r="F292" t="inlineStr">
        <is>
          <t>KRONOBERGS LÄN</t>
        </is>
      </c>
      <c r="G292" t="inlineStr">
        <is>
          <t>LJUNGBY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46284</v>
      </c>
      <c r="F293" t="inlineStr">
        <is>
          <t>KRONOBERGS LÄN</t>
        </is>
      </c>
      <c r="G293" t="inlineStr">
        <is>
          <t>LJUNGBY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46284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46284</v>
      </c>
      <c r="F295" t="inlineStr">
        <is>
          <t>KRONOBERGS LÄN</t>
        </is>
      </c>
      <c r="G295" t="inlineStr">
        <is>
          <t>LJUNGBY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44928</v>
      </c>
      <c r="E296" s="1" t="n">
        <v>46284</v>
      </c>
      <c r="F296" t="inlineStr">
        <is>
          <t>KRONOBERGS LÄN</t>
        </is>
      </c>
      <c r="G296" t="inlineStr">
        <is>
          <t>LJUNGBY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46284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45305</v>
      </c>
      <c r="E298" s="1" t="n">
        <v>46284</v>
      </c>
      <c r="F298" t="inlineStr">
        <is>
          <t>KRONOBERGS LÄN</t>
        </is>
      </c>
      <c r="G298" t="inlineStr">
        <is>
          <t>LJUNGBY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45317</v>
      </c>
      <c r="E299" s="1" t="n">
        <v>46284</v>
      </c>
      <c r="F299" t="inlineStr">
        <is>
          <t>KRONOBERGS LÄN</t>
        </is>
      </c>
      <c r="G299" t="inlineStr">
        <is>
          <t>LJUNGBY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46284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46284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44810</v>
      </c>
      <c r="E302" s="1" t="n">
        <v>46284</v>
      </c>
      <c r="F302" t="inlineStr">
        <is>
          <t>KRONOBERGS LÄN</t>
        </is>
      </c>
      <c r="G302" t="inlineStr">
        <is>
          <t>LJUNGBY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46284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17037-2024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45412</v>
      </c>
      <c r="E304" s="1" t="n">
        <v>46284</v>
      </c>
      <c r="F304" t="inlineStr">
        <is>
          <t>KRONOBERGS LÄN</t>
        </is>
      </c>
      <c r="G304" t="inlineStr">
        <is>
          <t>LJUNGBY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46284</v>
      </c>
      <c r="F305" t="inlineStr">
        <is>
          <t>KRONOBERGS LÄN</t>
        </is>
      </c>
      <c r="G305" t="inlineStr">
        <is>
          <t>LJUNGBY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46284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37335-2022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44809</v>
      </c>
      <c r="E307" s="1" t="n">
        <v>46284</v>
      </c>
      <c r="F307" t="inlineStr">
        <is>
          <t>KRONOBERGS LÄN</t>
        </is>
      </c>
      <c r="G307" t="inlineStr">
        <is>
          <t>LJUNGBY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45684</v>
      </c>
      <c r="E308" s="1" t="n">
        <v>46284</v>
      </c>
      <c r="F308" t="inlineStr">
        <is>
          <t>KRONOBERGS LÄN</t>
        </is>
      </c>
      <c r="G308" t="inlineStr">
        <is>
          <t>LJUNGBY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46284</v>
      </c>
      <c r="F309" t="inlineStr">
        <is>
          <t>KRONOBERGS LÄN</t>
        </is>
      </c>
      <c r="G309" t="inlineStr">
        <is>
          <t>LJUNGBY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46284</v>
      </c>
      <c r="F310" t="inlineStr">
        <is>
          <t>KRONOBERGS LÄN</t>
        </is>
      </c>
      <c r="G310" t="inlineStr">
        <is>
          <t>LJUNGBY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44603</v>
      </c>
      <c r="E311" s="1" t="n">
        <v>46284</v>
      </c>
      <c r="F311" t="inlineStr">
        <is>
          <t>KRONOBERGS LÄN</t>
        </is>
      </c>
      <c r="G311" t="inlineStr">
        <is>
          <t>LJUNGBY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44603</v>
      </c>
      <c r="E312" s="1" t="n">
        <v>46284</v>
      </c>
      <c r="F312" t="inlineStr">
        <is>
          <t>KRONOBERGS LÄN</t>
        </is>
      </c>
      <c r="G312" t="inlineStr">
        <is>
          <t>LJUNGBY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44603</v>
      </c>
      <c r="E313" s="1" t="n">
        <v>46284</v>
      </c>
      <c r="F313" t="inlineStr">
        <is>
          <t>KRONOBERGS LÄN</t>
        </is>
      </c>
      <c r="G313" t="inlineStr">
        <is>
          <t>LJUNGBY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46284</v>
      </c>
      <c r="F314" t="inlineStr">
        <is>
          <t>KRONOBERGS LÄN</t>
        </is>
      </c>
      <c r="G314" t="inlineStr">
        <is>
          <t>LJUNGBY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46284</v>
      </c>
      <c r="F315" t="inlineStr">
        <is>
          <t>KRONOBERGS LÄN</t>
        </is>
      </c>
      <c r="G315" t="inlineStr">
        <is>
          <t>LJUNGBY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46284</v>
      </c>
      <c r="F316" t="inlineStr">
        <is>
          <t>KRONOBERGS LÄN</t>
        </is>
      </c>
      <c r="G316" t="inlineStr">
        <is>
          <t>LJUNGBY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44942</v>
      </c>
      <c r="E317" s="1" t="n">
        <v>46284</v>
      </c>
      <c r="F317" t="inlineStr">
        <is>
          <t>KRONOBERGS LÄN</t>
        </is>
      </c>
      <c r="G317" t="inlineStr">
        <is>
          <t>LJUNGBY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32046-2024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45510</v>
      </c>
      <c r="E318" s="1" t="n">
        <v>46284</v>
      </c>
      <c r="F318" t="inlineStr">
        <is>
          <t>KRONOBERGS LÄN</t>
        </is>
      </c>
      <c r="G318" t="inlineStr">
        <is>
          <t>LJUNGBY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46284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45301</v>
      </c>
      <c r="E320" s="1" t="n">
        <v>46284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45527</v>
      </c>
      <c r="E321" s="1" t="n">
        <v>46284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49744-2023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45212</v>
      </c>
      <c r="E322" s="1" t="n">
        <v>46284</v>
      </c>
      <c r="F322" t="inlineStr">
        <is>
          <t>KRONOBERGS LÄN</t>
        </is>
      </c>
      <c r="G322" t="inlineStr">
        <is>
          <t>LJUNGBY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45525</v>
      </c>
      <c r="E323" s="1" t="n">
        <v>46284</v>
      </c>
      <c r="F323" t="inlineStr">
        <is>
          <t>KRONOBERGS LÄN</t>
        </is>
      </c>
      <c r="G323" t="inlineStr">
        <is>
          <t>LJUNGBY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46284</v>
      </c>
      <c r="F324" t="inlineStr">
        <is>
          <t>KRONOBERGS LÄN</t>
        </is>
      </c>
      <c r="G324" t="inlineStr">
        <is>
          <t>LJUNGBY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64354-2023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46284</v>
      </c>
      <c r="F325" t="inlineStr">
        <is>
          <t>KRONOBERGS LÄN</t>
        </is>
      </c>
      <c r="G325" t="inlineStr">
        <is>
          <t>LJUNGBY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45225</v>
      </c>
      <c r="E326" s="1" t="n">
        <v>46284</v>
      </c>
      <c r="F326" t="inlineStr">
        <is>
          <t>KRONOBERGS LÄN</t>
        </is>
      </c>
      <c r="G326" t="inlineStr">
        <is>
          <t>LJUNGBY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46284</v>
      </c>
      <c r="F327" t="inlineStr">
        <is>
          <t>KRONOBERGS LÄN</t>
        </is>
      </c>
      <c r="G327" t="inlineStr">
        <is>
          <t>LJUNGBY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46284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46284</v>
      </c>
      <c r="F329" t="inlineStr">
        <is>
          <t>KRONOBERGS LÄN</t>
        </is>
      </c>
      <c r="G329" t="inlineStr">
        <is>
          <t>LJUNGBY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46284</v>
      </c>
      <c r="F330" t="inlineStr">
        <is>
          <t>KRONOBERGS LÄN</t>
        </is>
      </c>
      <c r="G330" t="inlineStr">
        <is>
          <t>LJUNGBY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46284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46284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46284</v>
      </c>
      <c r="F333" t="inlineStr">
        <is>
          <t>KRONOBERGS LÄN</t>
        </is>
      </c>
      <c r="G333" t="inlineStr">
        <is>
          <t>LJUNGBY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46284</v>
      </c>
      <c r="F334" t="inlineStr">
        <is>
          <t>KRONOBERGS LÄN</t>
        </is>
      </c>
      <c r="G334" t="inlineStr">
        <is>
          <t>LJUNGBY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58227-2024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45632</v>
      </c>
      <c r="E335" s="1" t="n">
        <v>46284</v>
      </c>
      <c r="F335" t="inlineStr">
        <is>
          <t>KRONOBERGS LÄN</t>
        </is>
      </c>
      <c r="G335" t="inlineStr">
        <is>
          <t>LJUNGBY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44894</v>
      </c>
      <c r="E336" s="1" t="n">
        <v>46284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45328</v>
      </c>
      <c r="E337" s="1" t="n">
        <v>46284</v>
      </c>
      <c r="F337" t="inlineStr">
        <is>
          <t>KRONOBERGS LÄN</t>
        </is>
      </c>
      <c r="G337" t="inlineStr">
        <is>
          <t>LJUNGBY</t>
        </is>
      </c>
      <c r="I337" t="n">
        <v>51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46284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46284</v>
      </c>
      <c r="F339" t="inlineStr">
        <is>
          <t>KRONOBERGS LÄN</t>
        </is>
      </c>
      <c r="G339" t="inlineStr">
        <is>
          <t>LJUNGBY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45748</v>
      </c>
      <c r="E340" s="1" t="n">
        <v>46284</v>
      </c>
      <c r="F340" t="inlineStr">
        <is>
          <t>KRONOBERGS LÄN</t>
        </is>
      </c>
      <c r="G340" t="inlineStr">
        <is>
          <t>LJUNGBY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62361-2022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44923</v>
      </c>
      <c r="E341" s="1" t="n">
        <v>46284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46284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46284</v>
      </c>
      <c r="F343" t="inlineStr">
        <is>
          <t>KRONOBERGS LÄN</t>
        </is>
      </c>
      <c r="G343" t="inlineStr">
        <is>
          <t>LJUNGBY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46284</v>
      </c>
      <c r="F344" t="inlineStr">
        <is>
          <t>KRONOBERGS LÄN</t>
        </is>
      </c>
      <c r="G344" t="inlineStr">
        <is>
          <t>LJUNGBY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46284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58010-2021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44487</v>
      </c>
      <c r="E346" s="1" t="n">
        <v>46284</v>
      </c>
      <c r="F346" t="inlineStr">
        <is>
          <t>KRONOBERGS LÄN</t>
        </is>
      </c>
      <c r="G346" t="inlineStr">
        <is>
          <t>LJUNGBY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46284</v>
      </c>
      <c r="F347" t="inlineStr">
        <is>
          <t>KRONOBERGS LÄN</t>
        </is>
      </c>
      <c r="G347" t="inlineStr">
        <is>
          <t>LJUNGBY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45679</v>
      </c>
      <c r="E348" s="1" t="n">
        <v>46284</v>
      </c>
      <c r="F348" t="inlineStr">
        <is>
          <t>KRONOBERGS LÄN</t>
        </is>
      </c>
      <c r="G348" t="inlineStr">
        <is>
          <t>LJUNGBY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46284</v>
      </c>
      <c r="F349" t="inlineStr">
        <is>
          <t>KRONOBERGS LÄN</t>
        </is>
      </c>
      <c r="G349" t="inlineStr">
        <is>
          <t>LJUNGBY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46284</v>
      </c>
      <c r="F350" t="inlineStr">
        <is>
          <t>KRONOBERGS LÄN</t>
        </is>
      </c>
      <c r="G350" t="inlineStr">
        <is>
          <t>LJUNGBY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64358-2023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45280</v>
      </c>
      <c r="E351" s="1" t="n">
        <v>46284</v>
      </c>
      <c r="F351" t="inlineStr">
        <is>
          <t>KRONOBERGS LÄN</t>
        </is>
      </c>
      <c r="G351" t="inlineStr">
        <is>
          <t>LJUNGBY</t>
        </is>
      </c>
      <c r="H351" t="inlineStr">
        <is>
          <t>Kyrkan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45475</v>
      </c>
      <c r="E352" s="1" t="n">
        <v>46284</v>
      </c>
      <c r="F352" t="inlineStr">
        <is>
          <t>KRONOBERGS LÄN</t>
        </is>
      </c>
      <c r="G352" t="inlineStr">
        <is>
          <t>LJUNGBY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44903</v>
      </c>
      <c r="E353" s="1" t="n">
        <v>46284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45845</v>
      </c>
      <c r="E354" s="1" t="n">
        <v>46284</v>
      </c>
      <c r="F354" t="inlineStr">
        <is>
          <t>KRONOBERGS LÄN</t>
        </is>
      </c>
      <c r="G354" t="inlineStr">
        <is>
          <t>LJUNGBY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46284</v>
      </c>
      <c r="F355" t="inlineStr">
        <is>
          <t>KRONOBERGS LÄN</t>
        </is>
      </c>
      <c r="G355" t="inlineStr">
        <is>
          <t>LJUNGBY</t>
        </is>
      </c>
      <c r="I355" t="n">
        <v>20.8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56387-2023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45243</v>
      </c>
      <c r="E356" s="1" t="n">
        <v>46284</v>
      </c>
      <c r="F356" t="inlineStr">
        <is>
          <t>KRONOBERGS LÄN</t>
        </is>
      </c>
      <c r="G356" t="inlineStr">
        <is>
          <t>LJUNGBY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46284</v>
      </c>
      <c r="F357" t="inlineStr">
        <is>
          <t>KRONOBERGS LÄN</t>
        </is>
      </c>
      <c r="G357" t="inlineStr">
        <is>
          <t>LJUNGBY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45483</v>
      </c>
      <c r="E358" s="1" t="n">
        <v>46284</v>
      </c>
      <c r="F358" t="inlineStr">
        <is>
          <t>KRONOBERGS LÄN</t>
        </is>
      </c>
      <c r="G358" t="inlineStr">
        <is>
          <t>LJUNGBY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45137</v>
      </c>
      <c r="E359" s="1" t="n">
        <v>46284</v>
      </c>
      <c r="F359" t="inlineStr">
        <is>
          <t>KRONOBERGS LÄN</t>
        </is>
      </c>
      <c r="G359" t="inlineStr">
        <is>
          <t>LJUNGBY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46284</v>
      </c>
      <c r="F360" t="inlineStr">
        <is>
          <t>KRONOBERGS LÄN</t>
        </is>
      </c>
      <c r="G360" t="inlineStr">
        <is>
          <t>LJUNGBY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46284</v>
      </c>
      <c r="F361" t="inlineStr">
        <is>
          <t>KRONOBERGS LÄN</t>
        </is>
      </c>
      <c r="G361" t="inlineStr">
        <is>
          <t>LJUNGBY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12787-2025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46284</v>
      </c>
      <c r="F362" t="inlineStr">
        <is>
          <t>KRONOBERGS LÄN</t>
        </is>
      </c>
      <c r="G362" t="inlineStr">
        <is>
          <t>LJUNGBY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45784</v>
      </c>
      <c r="E363" s="1" t="n">
        <v>46284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43024-2024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45567</v>
      </c>
      <c r="E364" s="1" t="n">
        <v>46284</v>
      </c>
      <c r="F364" t="inlineStr">
        <is>
          <t>KRONOBERGS LÄN</t>
        </is>
      </c>
      <c r="G364" t="inlineStr">
        <is>
          <t>LJUNGBY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46284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45167</v>
      </c>
      <c r="E366" s="1" t="n">
        <v>46284</v>
      </c>
      <c r="F366" t="inlineStr">
        <is>
          <t>KRONOBERGS LÄN</t>
        </is>
      </c>
      <c r="G366" t="inlineStr">
        <is>
          <t>LJUNGBY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44740</v>
      </c>
      <c r="E367" s="1" t="n">
        <v>46284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62861-2023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46284</v>
      </c>
      <c r="F368" t="inlineStr">
        <is>
          <t>KRONOBERGS LÄN</t>
        </is>
      </c>
      <c r="G368" t="inlineStr">
        <is>
          <t>LJUNGBY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45440</v>
      </c>
      <c r="E369" s="1" t="n">
        <v>46284</v>
      </c>
      <c r="F369" t="inlineStr">
        <is>
          <t>KRONOBERGS LÄN</t>
        </is>
      </c>
      <c r="G369" t="inlineStr">
        <is>
          <t>LJUNGBY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45275</v>
      </c>
      <c r="E370" s="1" t="n">
        <v>46284</v>
      </c>
      <c r="F370" t="inlineStr">
        <is>
          <t>KRONOBERGS LÄN</t>
        </is>
      </c>
      <c r="G370" t="inlineStr">
        <is>
          <t>LJUNGBY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46284</v>
      </c>
      <c r="F371" t="inlineStr">
        <is>
          <t>KRONOBERGS LÄN</t>
        </is>
      </c>
      <c r="G371" t="inlineStr">
        <is>
          <t>LJUNGBY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45888</v>
      </c>
      <c r="E372" s="1" t="n">
        <v>46284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45207</v>
      </c>
      <c r="E373" s="1" t="n">
        <v>46284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46284</v>
      </c>
      <c r="F374" t="inlineStr">
        <is>
          <t>KRONOBERGS LÄN</t>
        </is>
      </c>
      <c r="G374" t="inlineStr">
        <is>
          <t>LJUNGBY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46284</v>
      </c>
      <c r="F375" t="inlineStr">
        <is>
          <t>KRONOBERGS LÄN</t>
        </is>
      </c>
      <c r="G375" t="inlineStr">
        <is>
          <t>LJUNGBY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23600-2023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45077</v>
      </c>
      <c r="E376" s="1" t="n">
        <v>46284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22087-2023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45069</v>
      </c>
      <c r="E377" s="1" t="n">
        <v>46284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45567</v>
      </c>
      <c r="E378" s="1" t="n">
        <v>46284</v>
      </c>
      <c r="F378" t="inlineStr">
        <is>
          <t>KRONOBERGS LÄN</t>
        </is>
      </c>
      <c r="G378" t="inlineStr">
        <is>
          <t>LJUNGBY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45837</v>
      </c>
      <c r="E379" s="1" t="n">
        <v>46284</v>
      </c>
      <c r="F379" t="inlineStr">
        <is>
          <t>KRONOBERGS LÄN</t>
        </is>
      </c>
      <c r="G379" t="inlineStr">
        <is>
          <t>LJUNGBY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14844-2022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44656</v>
      </c>
      <c r="E380" s="1" t="n">
        <v>46284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46284</v>
      </c>
      <c r="F381" t="inlineStr">
        <is>
          <t>KRONOBERGS LÄN</t>
        </is>
      </c>
      <c r="G381" t="inlineStr">
        <is>
          <t>LJUNGBY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46284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40323-2025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46284</v>
      </c>
      <c r="F383" t="inlineStr">
        <is>
          <t>KRONOBERGS LÄN</t>
        </is>
      </c>
      <c r="G383" t="inlineStr">
        <is>
          <t>LJUNGBY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45895</v>
      </c>
      <c r="E384" s="1" t="n">
        <v>46284</v>
      </c>
      <c r="F384" t="inlineStr">
        <is>
          <t>KRONOBERGS LÄN</t>
        </is>
      </c>
      <c r="G384" t="inlineStr">
        <is>
          <t>LJUNGBY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45355</v>
      </c>
      <c r="E385" s="1" t="n">
        <v>46284</v>
      </c>
      <c r="F385" t="inlineStr">
        <is>
          <t>KRONOBERGS LÄN</t>
        </is>
      </c>
      <c r="G385" t="inlineStr">
        <is>
          <t>LJUNGBY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45895</v>
      </c>
      <c r="E386" s="1" t="n">
        <v>46284</v>
      </c>
      <c r="F386" t="inlineStr">
        <is>
          <t>KRONOBERGS LÄN</t>
        </is>
      </c>
      <c r="G386" t="inlineStr">
        <is>
          <t>LJUNGBY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46284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46284</v>
      </c>
      <c r="F388" t="inlineStr">
        <is>
          <t>KRONOBERGS LÄN</t>
        </is>
      </c>
      <c r="G388" t="inlineStr">
        <is>
          <t>LJUNGBY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46284</v>
      </c>
      <c r="F389" t="inlineStr">
        <is>
          <t>KRONOBERGS LÄN</t>
        </is>
      </c>
      <c r="G389" t="inlineStr">
        <is>
          <t>LJUNGBY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45895</v>
      </c>
      <c r="E390" s="1" t="n">
        <v>46284</v>
      </c>
      <c r="F390" t="inlineStr">
        <is>
          <t>KRONOBERGS LÄN</t>
        </is>
      </c>
      <c r="G390" t="inlineStr">
        <is>
          <t>LJUNGBY</t>
        </is>
      </c>
      <c r="H390" t="inlineStr">
        <is>
          <t>Sveaskog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45895</v>
      </c>
      <c r="E391" s="1" t="n">
        <v>46284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44991</v>
      </c>
      <c r="E392" s="1" t="n">
        <v>46284</v>
      </c>
      <c r="F392" t="inlineStr">
        <is>
          <t>KRONOBERGS LÄN</t>
        </is>
      </c>
      <c r="G392" t="inlineStr">
        <is>
          <t>LJUNGBY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46284</v>
      </c>
      <c r="F393" t="inlineStr">
        <is>
          <t>KRONOBERGS LÄN</t>
        </is>
      </c>
      <c r="G393" t="inlineStr">
        <is>
          <t>LJUNGBY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40894-2025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45897</v>
      </c>
      <c r="E394" s="1" t="n">
        <v>46284</v>
      </c>
      <c r="F394" t="inlineStr">
        <is>
          <t>KRONOBERGS LÄN</t>
        </is>
      </c>
      <c r="G394" t="inlineStr">
        <is>
          <t>LJUNGBY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45162</v>
      </c>
      <c r="E395" s="1" t="n">
        <v>46284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46284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57310-2022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46284</v>
      </c>
      <c r="F397" t="inlineStr">
        <is>
          <t>KRONOBERGS LÄN</t>
        </is>
      </c>
      <c r="G397" t="inlineStr">
        <is>
          <t>LJUNGBY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30103-2025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45826</v>
      </c>
      <c r="E398" s="1" t="n">
        <v>46284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45370</v>
      </c>
      <c r="E399" s="1" t="n">
        <v>46284</v>
      </c>
      <c r="F399" t="inlineStr">
        <is>
          <t>KRONOBERGS LÄN</t>
        </is>
      </c>
      <c r="G399" t="inlineStr">
        <is>
          <t>LJUNGBY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45215</v>
      </c>
      <c r="E400" s="1" t="n">
        <v>46284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45644</v>
      </c>
      <c r="E401" s="1" t="n">
        <v>46284</v>
      </c>
      <c r="F401" t="inlineStr">
        <is>
          <t>KRONOBERGS LÄN</t>
        </is>
      </c>
      <c r="G401" t="inlineStr">
        <is>
          <t>LJUNGBY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46284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38641-2024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45546</v>
      </c>
      <c r="E403" s="1" t="n">
        <v>46284</v>
      </c>
      <c r="F403" t="inlineStr">
        <is>
          <t>KRONOBERGS LÄN</t>
        </is>
      </c>
      <c r="G403" t="inlineStr">
        <is>
          <t>LJUNGBY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45755</v>
      </c>
      <c r="E404" s="1" t="n">
        <v>46284</v>
      </c>
      <c r="F404" t="inlineStr">
        <is>
          <t>KRONOBERGS LÄN</t>
        </is>
      </c>
      <c r="G404" t="inlineStr">
        <is>
          <t>LJUNGBY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46284</v>
      </c>
      <c r="F405" t="inlineStr">
        <is>
          <t>KRONOBERGS LÄN</t>
        </is>
      </c>
      <c r="G405" t="inlineStr">
        <is>
          <t>LJUNGBY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63719-2023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45275</v>
      </c>
      <c r="E406" s="1" t="n">
        <v>46284</v>
      </c>
      <c r="F406" t="inlineStr">
        <is>
          <t>KRONOBERGS LÄN</t>
        </is>
      </c>
      <c r="G406" t="inlineStr">
        <is>
          <t>LJUNGBY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44585</v>
      </c>
      <c r="E407" s="1" t="n">
        <v>46284</v>
      </c>
      <c r="F407" t="inlineStr">
        <is>
          <t>KRONOBERGS LÄN</t>
        </is>
      </c>
      <c r="G407" t="inlineStr">
        <is>
          <t>LJUNGBY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26972-2025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46284</v>
      </c>
      <c r="F408" t="inlineStr">
        <is>
          <t>KRONOBERGS LÄN</t>
        </is>
      </c>
      <c r="G408" t="inlineStr">
        <is>
          <t>LJUNGBY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41798-2025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45902</v>
      </c>
      <c r="E409" s="1" t="n">
        <v>46284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46284</v>
      </c>
      <c r="F410" t="inlineStr">
        <is>
          <t>KRONOBERGS LÄN</t>
        </is>
      </c>
      <c r="G410" t="inlineStr">
        <is>
          <t>LJUNGBY</t>
        </is>
      </c>
      <c r="I410" t="n">
        <v>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46284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44999</v>
      </c>
      <c r="E412" s="1" t="n">
        <v>46284</v>
      </c>
      <c r="F412" t="inlineStr">
        <is>
          <t>KRONOBERGS LÄN</t>
        </is>
      </c>
      <c r="G412" t="inlineStr">
        <is>
          <t>LJUNGBY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45476</v>
      </c>
      <c r="E413" s="1" t="n">
        <v>46284</v>
      </c>
      <c r="F413" t="inlineStr">
        <is>
          <t>KRONOBERGS LÄN</t>
        </is>
      </c>
      <c r="G413" t="inlineStr">
        <is>
          <t>LJUNGBY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46284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58781-2024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45635</v>
      </c>
      <c r="E415" s="1" t="n">
        <v>46284</v>
      </c>
      <c r="F415" t="inlineStr">
        <is>
          <t>KRONOBERGS LÄN</t>
        </is>
      </c>
      <c r="G415" t="inlineStr">
        <is>
          <t>LJUNGBY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46284</v>
      </c>
      <c r="F416" t="inlineStr">
        <is>
          <t>KRONOBERGS LÄN</t>
        </is>
      </c>
      <c r="G416" t="inlineStr">
        <is>
          <t>LJUNGBY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46284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46284</v>
      </c>
      <c r="F418" t="inlineStr">
        <is>
          <t>KRONOBERGS LÄN</t>
        </is>
      </c>
      <c r="G418" t="inlineStr">
        <is>
          <t>LJUNGBY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45845</v>
      </c>
      <c r="E419" s="1" t="n">
        <v>46284</v>
      </c>
      <c r="F419" t="inlineStr">
        <is>
          <t>KRONOBERGS LÄN</t>
        </is>
      </c>
      <c r="G419" t="inlineStr">
        <is>
          <t>LJUNGBY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44991</v>
      </c>
      <c r="E420" s="1" t="n">
        <v>46284</v>
      </c>
      <c r="F420" t="inlineStr">
        <is>
          <t>KRONOBERGS LÄN</t>
        </is>
      </c>
      <c r="G420" t="inlineStr">
        <is>
          <t>LJUNGBY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46284</v>
      </c>
      <c r="F421" t="inlineStr">
        <is>
          <t>KRONOBERGS LÄN</t>
        </is>
      </c>
      <c r="G421" t="inlineStr">
        <is>
          <t>LJUNGBY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46284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46284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8080-2025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45707</v>
      </c>
      <c r="E424" s="1" t="n">
        <v>46284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10441-2024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45366</v>
      </c>
      <c r="E425" s="1" t="n">
        <v>46284</v>
      </c>
      <c r="F425" t="inlineStr">
        <is>
          <t>KRONOBERGS LÄN</t>
        </is>
      </c>
      <c r="G425" t="inlineStr">
        <is>
          <t>LJUNGBY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37320-2025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45876</v>
      </c>
      <c r="E426" s="1" t="n">
        <v>46284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46284</v>
      </c>
      <c r="F427" t="inlineStr">
        <is>
          <t>KRONOBERGS LÄN</t>
        </is>
      </c>
      <c r="G427" t="inlineStr">
        <is>
          <t>LJUNGBY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46284</v>
      </c>
      <c r="F428" t="inlineStr">
        <is>
          <t>KRONOBERGS LÄN</t>
        </is>
      </c>
      <c r="G428" t="inlineStr">
        <is>
          <t>LJUNGBY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45069</v>
      </c>
      <c r="E429" s="1" t="n">
        <v>46284</v>
      </c>
      <c r="F429" t="inlineStr">
        <is>
          <t>KRONOBERGS LÄN</t>
        </is>
      </c>
      <c r="G429" t="inlineStr">
        <is>
          <t>LJUNGBY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46284</v>
      </c>
      <c r="F430" t="inlineStr">
        <is>
          <t>KRONOBERGS LÄN</t>
        </is>
      </c>
      <c r="G430" t="inlineStr">
        <is>
          <t>LJUNGBY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46284</v>
      </c>
      <c r="F431" t="inlineStr">
        <is>
          <t>KRONOBERGS LÄN</t>
        </is>
      </c>
      <c r="G431" t="inlineStr">
        <is>
          <t>LJUNGBY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45748</v>
      </c>
      <c r="E432" s="1" t="n">
        <v>46284</v>
      </c>
      <c r="F432" t="inlineStr">
        <is>
          <t>KRONOBERGS LÄN</t>
        </is>
      </c>
      <c r="G432" t="inlineStr">
        <is>
          <t>LJUNGBY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45914</v>
      </c>
      <c r="E433" s="1" t="n">
        <v>46284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45195</v>
      </c>
      <c r="E434" s="1" t="n">
        <v>46284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45917</v>
      </c>
      <c r="E435" s="1" t="n">
        <v>46284</v>
      </c>
      <c r="F435" t="inlineStr">
        <is>
          <t>KRONOBERGS LÄN</t>
        </is>
      </c>
      <c r="G435" t="inlineStr">
        <is>
          <t>LJUNGBY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46284</v>
      </c>
      <c r="F436" t="inlineStr">
        <is>
          <t>KRONOBERGS LÄN</t>
        </is>
      </c>
      <c r="G436" t="inlineStr">
        <is>
          <t>LJUNGBY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46284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46284</v>
      </c>
      <c r="F438" t="inlineStr">
        <is>
          <t>KRONOBERGS LÄN</t>
        </is>
      </c>
      <c r="G438" t="inlineStr">
        <is>
          <t>LJUNGBY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44670-2025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45917</v>
      </c>
      <c r="E439" s="1" t="n">
        <v>46284</v>
      </c>
      <c r="F439" t="inlineStr">
        <is>
          <t>KRONOBERGS LÄN</t>
        </is>
      </c>
      <c r="G439" t="inlineStr">
        <is>
          <t>LJUNGBY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46284</v>
      </c>
      <c r="F440" t="inlineStr">
        <is>
          <t>KRONOBERGS LÄN</t>
        </is>
      </c>
      <c r="G440" t="inlineStr">
        <is>
          <t>LJUNGBY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44991</v>
      </c>
      <c r="E441" s="1" t="n">
        <v>46284</v>
      </c>
      <c r="F441" t="inlineStr">
        <is>
          <t>KRONOBERGS LÄN</t>
        </is>
      </c>
      <c r="G441" t="inlineStr">
        <is>
          <t>LJUNGBY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46284</v>
      </c>
      <c r="F442" t="inlineStr">
        <is>
          <t>KRONOBERGS LÄN</t>
        </is>
      </c>
      <c r="G442" t="inlineStr">
        <is>
          <t>LJUNGBY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44959</v>
      </c>
      <c r="E443" s="1" t="n">
        <v>46284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44959</v>
      </c>
      <c r="E444" s="1" t="n">
        <v>46284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45187</v>
      </c>
      <c r="E445" s="1" t="n">
        <v>46284</v>
      </c>
      <c r="F445" t="inlineStr">
        <is>
          <t>KRONOBERGS LÄN</t>
        </is>
      </c>
      <c r="G445" t="inlineStr">
        <is>
          <t>LJUNGBY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46284</v>
      </c>
      <c r="F446" t="inlineStr">
        <is>
          <t>KRONOBERGS LÄN</t>
        </is>
      </c>
      <c r="G446" t="inlineStr">
        <is>
          <t>LJUNGBY</t>
        </is>
      </c>
      <c r="H446" t="inlineStr">
        <is>
          <t>Kyrkan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42611-2023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45181</v>
      </c>
      <c r="E447" s="1" t="n">
        <v>46284</v>
      </c>
      <c r="F447" t="inlineStr">
        <is>
          <t>KRONOBERGS LÄN</t>
        </is>
      </c>
      <c r="G447" t="inlineStr">
        <is>
          <t>LJUNGBY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45714</v>
      </c>
      <c r="E448" s="1" t="n">
        <v>46284</v>
      </c>
      <c r="F448" t="inlineStr">
        <is>
          <t>KRONOBERGS LÄN</t>
        </is>
      </c>
      <c r="G448" t="inlineStr">
        <is>
          <t>LJUNGBY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67204-2021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44523</v>
      </c>
      <c r="E449" s="1" t="n">
        <v>46284</v>
      </c>
      <c r="F449" t="inlineStr">
        <is>
          <t>KRONOBERGS LÄN</t>
        </is>
      </c>
      <c r="G449" t="inlineStr">
        <is>
          <t>LJUNGBY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39835-2023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46284</v>
      </c>
      <c r="F450" t="inlineStr">
        <is>
          <t>KRONOBERGS LÄN</t>
        </is>
      </c>
      <c r="G450" t="inlineStr">
        <is>
          <t>LJUNGBY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52363-2023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45224</v>
      </c>
      <c r="E451" s="1" t="n">
        <v>46284</v>
      </c>
      <c r="F451" t="inlineStr">
        <is>
          <t>KRONOBERGS LÄN</t>
        </is>
      </c>
      <c r="G451" t="inlineStr">
        <is>
          <t>LJUNGBY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46284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1384-2022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44573</v>
      </c>
      <c r="E453" s="1" t="n">
        <v>46284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46284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45923</v>
      </c>
      <c r="E455" s="1" t="n">
        <v>46284</v>
      </c>
      <c r="F455" t="inlineStr">
        <is>
          <t>KRONOBERGS LÄN</t>
        </is>
      </c>
      <c r="G455" t="inlineStr">
        <is>
          <t>LJUNGBY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46284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46284</v>
      </c>
      <c r="F457" t="inlineStr">
        <is>
          <t>KRONOBERGS LÄN</t>
        </is>
      </c>
      <c r="G457" t="inlineStr">
        <is>
          <t>LJUNGBY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45923</v>
      </c>
      <c r="E458" s="1" t="n">
        <v>46284</v>
      </c>
      <c r="F458" t="inlineStr">
        <is>
          <t>KRONOBERGS LÄN</t>
        </is>
      </c>
      <c r="G458" t="inlineStr">
        <is>
          <t>LJUNGBY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46284</v>
      </c>
      <c r="F459" t="inlineStr">
        <is>
          <t>KRONOBERGS LÄN</t>
        </is>
      </c>
      <c r="G459" t="inlineStr">
        <is>
          <t>LJUNGBY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46284</v>
      </c>
      <c r="F460" t="inlineStr">
        <is>
          <t>KRONOBERGS LÄN</t>
        </is>
      </c>
      <c r="G460" t="inlineStr">
        <is>
          <t>LJUNGBY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46499-2025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45925</v>
      </c>
      <c r="E461" s="1" t="n">
        <v>46284</v>
      </c>
      <c r="F461" t="inlineStr">
        <is>
          <t>KRONOBERGS LÄN</t>
        </is>
      </c>
      <c r="G461" t="inlineStr">
        <is>
          <t>LJUNGBY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46501-2025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45925</v>
      </c>
      <c r="E462" s="1" t="n">
        <v>46284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45925</v>
      </c>
      <c r="E463" s="1" t="n">
        <v>46284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46502-2025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46284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46284</v>
      </c>
      <c r="F465" t="inlineStr">
        <is>
          <t>KRONOBERGS LÄN</t>
        </is>
      </c>
      <c r="G465" t="inlineStr">
        <is>
          <t>LJUNGBY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40092-2022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44820</v>
      </c>
      <c r="E466" s="1" t="n">
        <v>46284</v>
      </c>
      <c r="F466" t="inlineStr">
        <is>
          <t>KRONOBERGS LÄN</t>
        </is>
      </c>
      <c r="G466" t="inlineStr">
        <is>
          <t>LJUNGBY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45476</v>
      </c>
      <c r="E467" s="1" t="n">
        <v>46284</v>
      </c>
      <c r="F467" t="inlineStr">
        <is>
          <t>KRONOBERGS LÄN</t>
        </is>
      </c>
      <c r="G467" t="inlineStr">
        <is>
          <t>LJUNGBY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32664-2023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45111</v>
      </c>
      <c r="E468" s="1" t="n">
        <v>46284</v>
      </c>
      <c r="F468" t="inlineStr">
        <is>
          <t>KRONOBERGS LÄN</t>
        </is>
      </c>
      <c r="G468" t="inlineStr">
        <is>
          <t>LJUNGBY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45857-2022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44846</v>
      </c>
      <c r="E469" s="1" t="n">
        <v>46284</v>
      </c>
      <c r="F469" t="inlineStr">
        <is>
          <t>KRONOBERGS LÄN</t>
        </is>
      </c>
      <c r="G469" t="inlineStr">
        <is>
          <t>LJUNGBY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46360-2022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44848</v>
      </c>
      <c r="E470" s="1" t="n">
        <v>46284</v>
      </c>
      <c r="F470" t="inlineStr">
        <is>
          <t>KRONOBERGS LÄN</t>
        </is>
      </c>
      <c r="G470" t="inlineStr">
        <is>
          <t>LJUNGBY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46284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25391-2023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45089</v>
      </c>
      <c r="E472" s="1" t="n">
        <v>46284</v>
      </c>
      <c r="F472" t="inlineStr">
        <is>
          <t>KRONOBERGS LÄN</t>
        </is>
      </c>
      <c r="G472" t="inlineStr">
        <is>
          <t>LJUNGBY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44565</v>
      </c>
      <c r="E473" s="1" t="n">
        <v>46284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44565</v>
      </c>
      <c r="E474" s="1" t="n">
        <v>46284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45730</v>
      </c>
      <c r="E475" s="1" t="n">
        <v>46284</v>
      </c>
      <c r="F475" t="inlineStr">
        <is>
          <t>KRONOBERGS LÄN</t>
        </is>
      </c>
      <c r="G475" t="inlineStr">
        <is>
          <t>LJUNGBY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45068</v>
      </c>
      <c r="E476" s="1" t="n">
        <v>46284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46284</v>
      </c>
      <c r="F477" t="inlineStr">
        <is>
          <t>KRONOBERGS LÄN</t>
        </is>
      </c>
      <c r="G477" t="inlineStr">
        <is>
          <t>LJUNGBY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45315</v>
      </c>
      <c r="E478" s="1" t="n">
        <v>46284</v>
      </c>
      <c r="F478" t="inlineStr">
        <is>
          <t>KRONOBERGS LÄN</t>
        </is>
      </c>
      <c r="G478" t="inlineStr">
        <is>
          <t>LJUNGBY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45734</v>
      </c>
      <c r="E479" s="1" t="n">
        <v>46284</v>
      </c>
      <c r="F479" t="inlineStr">
        <is>
          <t>KRONOBERGS LÄN</t>
        </is>
      </c>
      <c r="G479" t="inlineStr">
        <is>
          <t>LJUNGBY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45672</v>
      </c>
      <c r="E480" s="1" t="n">
        <v>46284</v>
      </c>
      <c r="F480" t="inlineStr">
        <is>
          <t>KRONOBERGS LÄN</t>
        </is>
      </c>
      <c r="G480" t="inlineStr">
        <is>
          <t>LJUNGBY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46284</v>
      </c>
      <c r="F481" t="inlineStr">
        <is>
          <t>KRONOBERGS LÄN</t>
        </is>
      </c>
      <c r="G481" t="inlineStr">
        <is>
          <t>LJUNGBY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46284</v>
      </c>
      <c r="F482" t="inlineStr">
        <is>
          <t>KRONOBERGS LÄN</t>
        </is>
      </c>
      <c r="G482" t="inlineStr">
        <is>
          <t>LJUNGBY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26882-2024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45470</v>
      </c>
      <c r="E483" s="1" t="n">
        <v>46284</v>
      </c>
      <c r="F483" t="inlineStr">
        <is>
          <t>KRONOBERGS LÄN</t>
        </is>
      </c>
      <c r="G483" t="inlineStr">
        <is>
          <t>LJUNGBY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45602</v>
      </c>
      <c r="E484" s="1" t="n">
        <v>46284</v>
      </c>
      <c r="F484" t="inlineStr">
        <is>
          <t>KRONOBERGS LÄN</t>
        </is>
      </c>
      <c r="G484" t="inlineStr">
        <is>
          <t>LJUNGBY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6493-2024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45339</v>
      </c>
      <c r="E485" s="1" t="n">
        <v>46284</v>
      </c>
      <c r="F485" t="inlineStr">
        <is>
          <t>KRONOBERGS LÄN</t>
        </is>
      </c>
      <c r="G485" t="inlineStr">
        <is>
          <t>LJUNGBY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49833-2025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45940</v>
      </c>
      <c r="E486" s="1" t="n">
        <v>46284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45097</v>
      </c>
      <c r="E487" s="1" t="n">
        <v>46284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46284</v>
      </c>
      <c r="F488" t="inlineStr">
        <is>
          <t>KRONOBERGS LÄN</t>
        </is>
      </c>
      <c r="G488" t="inlineStr">
        <is>
          <t>LJUNGBY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53405-2024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45614</v>
      </c>
      <c r="E489" s="1" t="n">
        <v>46284</v>
      </c>
      <c r="F489" t="inlineStr">
        <is>
          <t>KRONOBERGS LÄN</t>
        </is>
      </c>
      <c r="G489" t="inlineStr">
        <is>
          <t>LJUNGBY</t>
        </is>
      </c>
      <c r="H489" t="inlineStr">
        <is>
          <t>Sveaskog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46284</v>
      </c>
      <c r="F490" t="inlineStr">
        <is>
          <t>KRONOBERGS LÄN</t>
        </is>
      </c>
      <c r="G490" t="inlineStr">
        <is>
          <t>LJUNGBY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50592-2025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45945</v>
      </c>
      <c r="E491" s="1" t="n">
        <v>46284</v>
      </c>
      <c r="F491" t="inlineStr">
        <is>
          <t>KRONOBERGS LÄN</t>
        </is>
      </c>
      <c r="G491" t="inlineStr">
        <is>
          <t>LJUNGBY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46284</v>
      </c>
      <c r="F492" t="inlineStr">
        <is>
          <t>KRONOBERGS LÄN</t>
        </is>
      </c>
      <c r="G492" t="inlineStr">
        <is>
          <t>LJUNGBY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50896-2022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46284</v>
      </c>
      <c r="F493" t="inlineStr">
        <is>
          <t>KRONOBERGS LÄN</t>
        </is>
      </c>
      <c r="G493" t="inlineStr">
        <is>
          <t>LJUNGBY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45427</v>
      </c>
      <c r="E494" s="1" t="n">
        <v>46284</v>
      </c>
      <c r="F494" t="inlineStr">
        <is>
          <t>KRONOBERGS LÄN</t>
        </is>
      </c>
      <c r="G494" t="inlineStr">
        <is>
          <t>LJUNGBY</t>
        </is>
      </c>
      <c r="I494" t="n">
        <v>9.6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45946</v>
      </c>
      <c r="E495" s="1" t="n">
        <v>46284</v>
      </c>
      <c r="F495" t="inlineStr">
        <is>
          <t>KRONOBERGS LÄN</t>
        </is>
      </c>
      <c r="G495" t="inlineStr">
        <is>
          <t>LJUNGBY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51481-2025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45950</v>
      </c>
      <c r="E496" s="1" t="n">
        <v>46284</v>
      </c>
      <c r="F496" t="inlineStr">
        <is>
          <t>KRONOBERGS LÄN</t>
        </is>
      </c>
      <c r="G496" t="inlineStr">
        <is>
          <t>LJUNGBY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45950</v>
      </c>
      <c r="E497" s="1" t="n">
        <v>46284</v>
      </c>
      <c r="F497" t="inlineStr">
        <is>
          <t>KRONOBERGS LÄN</t>
        </is>
      </c>
      <c r="G497" t="inlineStr">
        <is>
          <t>LJUNGBY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51463-2025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46284</v>
      </c>
      <c r="F498" t="inlineStr">
        <is>
          <t>KRONOBERGS LÄN</t>
        </is>
      </c>
      <c r="G498" t="inlineStr">
        <is>
          <t>LJUNGBY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52516-2023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45225</v>
      </c>
      <c r="E499" s="1" t="n">
        <v>46284</v>
      </c>
      <c r="F499" t="inlineStr">
        <is>
          <t>KRONOBERGS LÄN</t>
        </is>
      </c>
      <c r="G499" t="inlineStr">
        <is>
          <t>LJUNGBY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45116</v>
      </c>
      <c r="E500" s="1" t="n">
        <v>46284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45116</v>
      </c>
      <c r="E501" s="1" t="n">
        <v>46284</v>
      </c>
      <c r="F501" t="inlineStr">
        <is>
          <t>KRONOBERGS LÄN</t>
        </is>
      </c>
      <c r="G501" t="inlineStr">
        <is>
          <t>LJUNGBY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45911</v>
      </c>
      <c r="E502" s="1" t="n">
        <v>46284</v>
      </c>
      <c r="F502" t="inlineStr">
        <is>
          <t>KRONOBERGS LÄN</t>
        </is>
      </c>
      <c r="G502" t="inlineStr">
        <is>
          <t>LJUNGBY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51390-2025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46284</v>
      </c>
      <c r="F503" t="inlineStr">
        <is>
          <t>KRONOBERGS LÄN</t>
        </is>
      </c>
      <c r="G503" t="inlineStr">
        <is>
          <t>LJUNGBY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52661-2024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46284</v>
      </c>
      <c r="F504" t="inlineStr">
        <is>
          <t>KRONOBERGS LÄN</t>
        </is>
      </c>
      <c r="G504" t="inlineStr">
        <is>
          <t>LJUNGBY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45156</v>
      </c>
      <c r="E505" s="1" t="n">
        <v>46284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46284</v>
      </c>
      <c r="F506" t="inlineStr">
        <is>
          <t>KRONOBERGS LÄN</t>
        </is>
      </c>
      <c r="G506" t="inlineStr">
        <is>
          <t>LJUNGBY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44971</v>
      </c>
      <c r="E507" s="1" t="n">
        <v>46284</v>
      </c>
      <c r="F507" t="inlineStr">
        <is>
          <t>KRONOBERGS LÄN</t>
        </is>
      </c>
      <c r="G507" t="inlineStr">
        <is>
          <t>LJUNGBY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45714</v>
      </c>
      <c r="E508" s="1" t="n">
        <v>46284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45754</v>
      </c>
      <c r="E509" s="1" t="n">
        <v>46284</v>
      </c>
      <c r="F509" t="inlineStr">
        <is>
          <t>KRONOBERGS LÄN</t>
        </is>
      </c>
      <c r="G509" t="inlineStr">
        <is>
          <t>LJUNGBY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45349</v>
      </c>
      <c r="E510" s="1" t="n">
        <v>46284</v>
      </c>
      <c r="F510" t="inlineStr">
        <is>
          <t>KRONOBERGS LÄN</t>
        </is>
      </c>
      <c r="G510" t="inlineStr">
        <is>
          <t>LJUNGBY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46284</v>
      </c>
      <c r="F511" t="inlineStr">
        <is>
          <t>KRONOBERGS LÄN</t>
        </is>
      </c>
      <c r="G511" t="inlineStr">
        <is>
          <t>LJUNGBY</t>
        </is>
      </c>
      <c r="I511" t="n">
        <v>7.6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52764-2025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46284</v>
      </c>
      <c r="F512" t="inlineStr">
        <is>
          <t>KRONOBERGS LÄN</t>
        </is>
      </c>
      <c r="G512" t="inlineStr">
        <is>
          <t>LJUNGBY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52539-2021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44466</v>
      </c>
      <c r="E513" s="1" t="n">
        <v>46284</v>
      </c>
      <c r="F513" t="inlineStr">
        <is>
          <t>KRONOBERGS LÄN</t>
        </is>
      </c>
      <c r="G513" t="inlineStr">
        <is>
          <t>LJUNGBY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46284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44937</v>
      </c>
      <c r="E515" s="1" t="n">
        <v>46284</v>
      </c>
      <c r="F515" t="inlineStr">
        <is>
          <t>KRONOBERGS LÄN</t>
        </is>
      </c>
      <c r="G515" t="inlineStr">
        <is>
          <t>LJUNGBY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52758-2025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45957</v>
      </c>
      <c r="E516" s="1" t="n">
        <v>46284</v>
      </c>
      <c r="F516" t="inlineStr">
        <is>
          <t>KRONOBERGS LÄN</t>
        </is>
      </c>
      <c r="G516" t="inlineStr">
        <is>
          <t>LJUNGBY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46284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52844-2024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45610</v>
      </c>
      <c r="E518" s="1" t="n">
        <v>46284</v>
      </c>
      <c r="F518" t="inlineStr">
        <is>
          <t>KRONOBERGS LÄN</t>
        </is>
      </c>
      <c r="G518" t="inlineStr">
        <is>
          <t>LJUNGBY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9825-2022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44620</v>
      </c>
      <c r="E519" s="1" t="n">
        <v>46284</v>
      </c>
      <c r="F519" t="inlineStr">
        <is>
          <t>KRONOBERGS LÄN</t>
        </is>
      </c>
      <c r="G519" t="inlineStr">
        <is>
          <t>LJUNGBY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46284</v>
      </c>
      <c r="F520" t="inlineStr">
        <is>
          <t>KRONOBERGS LÄN</t>
        </is>
      </c>
      <c r="G520" t="inlineStr">
        <is>
          <t>LJUNGBY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46284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46284</v>
      </c>
      <c r="F522" t="inlineStr">
        <is>
          <t>KRONOBERGS LÄN</t>
        </is>
      </c>
      <c r="G522" t="inlineStr">
        <is>
          <t>LJUNGBY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45628</v>
      </c>
      <c r="E523" s="1" t="n">
        <v>46284</v>
      </c>
      <c r="F523" t="inlineStr">
        <is>
          <t>KRONOBERGS LÄN</t>
        </is>
      </c>
      <c r="G523" t="inlineStr">
        <is>
          <t>LJUNGBY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51537-2024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46284</v>
      </c>
      <c r="F524" t="inlineStr">
        <is>
          <t>KRONOBERGS LÄN</t>
        </is>
      </c>
      <c r="G524" t="inlineStr">
        <is>
          <t>LJUNGBY</t>
        </is>
      </c>
      <c r="H524" t="inlineStr">
        <is>
          <t>Kyrkan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45959</v>
      </c>
      <c r="E525" s="1" t="n">
        <v>46284</v>
      </c>
      <c r="F525" t="inlineStr">
        <is>
          <t>KRONOBERGS LÄN</t>
        </is>
      </c>
      <c r="G525" t="inlineStr">
        <is>
          <t>LJUNGBY</t>
        </is>
      </c>
      <c r="H525" t="inlineStr">
        <is>
          <t>Övriga Aktiebolag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54003-2025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45961</v>
      </c>
      <c r="E526" s="1" t="n">
        <v>46284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46284</v>
      </c>
      <c r="F527" t="inlineStr">
        <is>
          <t>KRONOBERGS LÄN</t>
        </is>
      </c>
      <c r="G527" t="inlineStr">
        <is>
          <t>LJUNGBY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4336-2024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45324</v>
      </c>
      <c r="E528" s="1" t="n">
        <v>46284</v>
      </c>
      <c r="F528" t="inlineStr">
        <is>
          <t>KRONOBERGS LÄN</t>
        </is>
      </c>
      <c r="G528" t="inlineStr">
        <is>
          <t>LJUNGBY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54259-2025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45964</v>
      </c>
      <c r="E529" s="1" t="n">
        <v>46284</v>
      </c>
      <c r="F529" t="inlineStr">
        <is>
          <t>KRONOBERGS LÄN</t>
        </is>
      </c>
      <c r="G529" t="inlineStr">
        <is>
          <t>LJUNGBY</t>
        </is>
      </c>
      <c r="H529" t="inlineStr">
        <is>
          <t>Kommuner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45964</v>
      </c>
      <c r="E530" s="1" t="n">
        <v>46284</v>
      </c>
      <c r="F530" t="inlineStr">
        <is>
          <t>KRONOBERGS LÄN</t>
        </is>
      </c>
      <c r="G530" t="inlineStr">
        <is>
          <t>LJUNGBY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46154</v>
      </c>
      <c r="E531" s="1" t="n">
        <v>46284</v>
      </c>
      <c r="F531" t="inlineStr">
        <is>
          <t>KRONOBERGS LÄN</t>
        </is>
      </c>
      <c r="G531" t="inlineStr">
        <is>
          <t>LJUNGBY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35963-2024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45533</v>
      </c>
      <c r="E532" s="1" t="n">
        <v>46284</v>
      </c>
      <c r="F532" t="inlineStr">
        <is>
          <t>KRONOBERGS LÄN</t>
        </is>
      </c>
      <c r="G532" t="inlineStr">
        <is>
          <t>LJUNGBY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46284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46284</v>
      </c>
      <c r="F534" t="inlineStr">
        <is>
          <t>KRONOBERGS LÄN</t>
        </is>
      </c>
      <c r="G534" t="inlineStr">
        <is>
          <t>LJUNGBY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27012-2025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45811</v>
      </c>
      <c r="E535" s="1" t="n">
        <v>46284</v>
      </c>
      <c r="F535" t="inlineStr">
        <is>
          <t>KRONOBERGS LÄN</t>
        </is>
      </c>
      <c r="G535" t="inlineStr">
        <is>
          <t>LJUNGBY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45845</v>
      </c>
      <c r="E536" s="1" t="n">
        <v>46284</v>
      </c>
      <c r="F536" t="inlineStr">
        <is>
          <t>KRONOBERGS LÄN</t>
        </is>
      </c>
      <c r="G536" t="inlineStr">
        <is>
          <t>LJUNGBY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15974-2025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46284</v>
      </c>
      <c r="F537" t="inlineStr">
        <is>
          <t>KRONOBERGS LÄN</t>
        </is>
      </c>
      <c r="G537" t="inlineStr">
        <is>
          <t>LJUNGBY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46284</v>
      </c>
      <c r="F538" t="inlineStr">
        <is>
          <t>KRONOBERGS LÄN</t>
        </is>
      </c>
      <c r="G538" t="inlineStr">
        <is>
          <t>LJUNGBY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45764</v>
      </c>
      <c r="E539" s="1" t="n">
        <v>46284</v>
      </c>
      <c r="F539" t="inlineStr">
        <is>
          <t>KRONOBERGS LÄN</t>
        </is>
      </c>
      <c r="G539" t="inlineStr">
        <is>
          <t>LJUNGBY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46284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45097</v>
      </c>
      <c r="E541" s="1" t="n">
        <v>46284</v>
      </c>
      <c r="F541" t="inlineStr">
        <is>
          <t>KRONOBERGS LÄN</t>
        </is>
      </c>
      <c r="G541" t="inlineStr">
        <is>
          <t>LJUNGBY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46284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46284</v>
      </c>
      <c r="F543" t="inlineStr">
        <is>
          <t>KRONOBERGS LÄN</t>
        </is>
      </c>
      <c r="G543" t="inlineStr">
        <is>
          <t>LJUNGBY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45973</v>
      </c>
      <c r="E544" s="1" t="n">
        <v>46284</v>
      </c>
      <c r="F544" t="inlineStr">
        <is>
          <t>KRONOBERGS LÄN</t>
        </is>
      </c>
      <c r="G544" t="inlineStr">
        <is>
          <t>LJUNGBY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46284</v>
      </c>
      <c r="F545" t="inlineStr">
        <is>
          <t>KRONOBERGS LÄN</t>
        </is>
      </c>
      <c r="G545" t="inlineStr">
        <is>
          <t>LJUNGBY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57133-2022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44895</v>
      </c>
      <c r="E546" s="1" t="n">
        <v>46284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57144-2022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44895</v>
      </c>
      <c r="E547" s="1" t="n">
        <v>46284</v>
      </c>
      <c r="F547" t="inlineStr">
        <is>
          <t>KRONOBERGS LÄN</t>
        </is>
      </c>
      <c r="G547" t="inlineStr">
        <is>
          <t>LJUNGBY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57157-2022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44895</v>
      </c>
      <c r="E548" s="1" t="n">
        <v>46284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46284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45546</v>
      </c>
      <c r="E550" s="1" t="n">
        <v>46284</v>
      </c>
      <c r="F550" t="inlineStr">
        <is>
          <t>KRONOBERGS LÄN</t>
        </is>
      </c>
      <c r="G550" t="inlineStr">
        <is>
          <t>LJUNGBY</t>
        </is>
      </c>
      <c r="H550" t="inlineStr">
        <is>
          <t>Sveaskog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19120-2023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45048</v>
      </c>
      <c r="E551" s="1" t="n">
        <v>46284</v>
      </c>
      <c r="F551" t="inlineStr">
        <is>
          <t>KRONOBERGS LÄN</t>
        </is>
      </c>
      <c r="G551" t="inlineStr">
        <is>
          <t>LJUNGBY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45977</v>
      </c>
      <c r="E552" s="1" t="n">
        <v>46284</v>
      </c>
      <c r="F552" t="inlineStr">
        <is>
          <t>KRONOBERGS LÄN</t>
        </is>
      </c>
      <c r="G552" t="inlineStr">
        <is>
          <t>LJUNGBY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46284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46284</v>
      </c>
      <c r="F554" t="inlineStr">
        <is>
          <t>KRONOBERGS LÄN</t>
        </is>
      </c>
      <c r="G554" t="inlineStr">
        <is>
          <t>LJUNGBY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45874</v>
      </c>
      <c r="E555" s="1" t="n">
        <v>46284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56918-2025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45978</v>
      </c>
      <c r="E556" s="1" t="n">
        <v>46284</v>
      </c>
      <c r="F556" t="inlineStr">
        <is>
          <t>KRONOBERGS LÄN</t>
        </is>
      </c>
      <c r="G556" t="inlineStr">
        <is>
          <t>LJUNGBY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46284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46284</v>
      </c>
      <c r="F558" t="inlineStr">
        <is>
          <t>KRONOBERGS LÄN</t>
        </is>
      </c>
      <c r="G558" t="inlineStr">
        <is>
          <t>LJUNGBY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57632-2025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45981</v>
      </c>
      <c r="E559" s="1" t="n">
        <v>46284</v>
      </c>
      <c r="F559" t="inlineStr">
        <is>
          <t>KRONOBERGS LÄN</t>
        </is>
      </c>
      <c r="G559" t="inlineStr">
        <is>
          <t>LJUNGBY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59778-2024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45639</v>
      </c>
      <c r="E560" s="1" t="n">
        <v>46284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46284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46284</v>
      </c>
      <c r="F562" t="inlineStr">
        <is>
          <t>KRONOBERGS LÄN</t>
        </is>
      </c>
      <c r="G562" t="inlineStr">
        <is>
          <t>LJUNGBY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46284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58319-2025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46284</v>
      </c>
      <c r="F564" t="inlineStr">
        <is>
          <t>KRONOBERGS LÄN</t>
        </is>
      </c>
      <c r="G564" t="inlineStr">
        <is>
          <t>LJUNGBY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64680-2023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45281</v>
      </c>
      <c r="E565" s="1" t="n">
        <v>46284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54910-2022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44886</v>
      </c>
      <c r="E566" s="1" t="n">
        <v>46284</v>
      </c>
      <c r="F566" t="inlineStr">
        <is>
          <t>KRONOBERGS LÄN</t>
        </is>
      </c>
      <c r="G566" t="inlineStr">
        <is>
          <t>LJUNGBY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61592-2023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45265</v>
      </c>
      <c r="E567" s="1" t="n">
        <v>46284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45179</v>
      </c>
      <c r="E568" s="1" t="n">
        <v>46284</v>
      </c>
      <c r="F568" t="inlineStr">
        <is>
          <t>KRONOBERGS LÄN</t>
        </is>
      </c>
      <c r="G568" t="inlineStr">
        <is>
          <t>LJUNGBY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45756</v>
      </c>
      <c r="E569" s="1" t="n">
        <v>46284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7684-2026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46284</v>
      </c>
      <c r="F570" t="inlineStr">
        <is>
          <t>KRONOBERGS LÄN</t>
        </is>
      </c>
      <c r="G570" t="inlineStr">
        <is>
          <t>LJUNGBY</t>
        </is>
      </c>
      <c r="H570" t="inlineStr">
        <is>
          <t>Kyrkan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46284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46284</v>
      </c>
      <c r="F572" t="inlineStr">
        <is>
          <t>KRONOBERGS LÄN</t>
        </is>
      </c>
      <c r="G572" t="inlineStr">
        <is>
          <t>LJUNGBY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46284</v>
      </c>
      <c r="F573" t="inlineStr">
        <is>
          <t>KRONOBERGS LÄN</t>
        </is>
      </c>
      <c r="G573" t="inlineStr">
        <is>
          <t>LJUNGBY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15580-2024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46284</v>
      </c>
      <c r="F574" t="inlineStr">
        <is>
          <t>KRONOBERGS LÄN</t>
        </is>
      </c>
      <c r="G574" t="inlineStr">
        <is>
          <t>LJUNGBY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45989</v>
      </c>
      <c r="E575" s="1" t="n">
        <v>46284</v>
      </c>
      <c r="F575" t="inlineStr">
        <is>
          <t>KRONOBERGS LÄN</t>
        </is>
      </c>
      <c r="G575" t="inlineStr">
        <is>
          <t>LJUNGBY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46284</v>
      </c>
      <c r="F576" t="inlineStr">
        <is>
          <t>KRONOBERGS LÄN</t>
        </is>
      </c>
      <c r="G576" t="inlineStr">
        <is>
          <t>LJUNGBY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52711-2024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45610</v>
      </c>
      <c r="E577" s="1" t="n">
        <v>46284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59604-2025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46284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46284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57952-2022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46284</v>
      </c>
      <c r="F580" t="inlineStr">
        <is>
          <t>KRONOBERGS LÄN</t>
        </is>
      </c>
      <c r="G580" t="inlineStr">
        <is>
          <t>LJUNGBY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46284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63354-2021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44508</v>
      </c>
      <c r="E582" s="1" t="n">
        <v>46284</v>
      </c>
      <c r="F582" t="inlineStr">
        <is>
          <t>KRONOBERGS LÄN</t>
        </is>
      </c>
      <c r="G582" t="inlineStr">
        <is>
          <t>LJUNGBY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46284</v>
      </c>
      <c r="F583" t="inlineStr">
        <is>
          <t>KRONOBERGS LÄN</t>
        </is>
      </c>
      <c r="G583" t="inlineStr">
        <is>
          <t>LJUNGBY</t>
        </is>
      </c>
      <c r="H583" t="inlineStr">
        <is>
          <t>Kommuner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55752-2023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45239</v>
      </c>
      <c r="E584" s="1" t="n">
        <v>46284</v>
      </c>
      <c r="F584" t="inlineStr">
        <is>
          <t>KRONOBERGS LÄN</t>
        </is>
      </c>
      <c r="G584" t="inlineStr">
        <is>
          <t>LJUNGBY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23201-2026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46284</v>
      </c>
      <c r="F585" t="inlineStr">
        <is>
          <t>KRONOBERGS LÄN</t>
        </is>
      </c>
      <c r="G585" t="inlineStr">
        <is>
          <t>LJUNGBY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27540-2022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44742</v>
      </c>
      <c r="E586" s="1" t="n">
        <v>46284</v>
      </c>
      <c r="F586" t="inlineStr">
        <is>
          <t>KRONOBERGS LÄN</t>
        </is>
      </c>
      <c r="G586" t="inlineStr">
        <is>
          <t>LJUNGBY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60480-2025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46284</v>
      </c>
      <c r="F587" t="inlineStr">
        <is>
          <t>KRONOBERGS LÄN</t>
        </is>
      </c>
      <c r="G587" t="inlineStr">
        <is>
          <t>LJUNGBY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44974</v>
      </c>
      <c r="E588" s="1" t="n">
        <v>46284</v>
      </c>
      <c r="F588" t="inlineStr">
        <is>
          <t>KRONOBERGS LÄN</t>
        </is>
      </c>
      <c r="G588" t="inlineStr">
        <is>
          <t>LJUNGBY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46284</v>
      </c>
      <c r="F589" t="inlineStr">
        <is>
          <t>KRONOBERGS LÄN</t>
        </is>
      </c>
      <c r="G589" t="inlineStr">
        <is>
          <t>LJUNGBY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46284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3850-2022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44587</v>
      </c>
      <c r="E591" s="1" t="n">
        <v>46284</v>
      </c>
      <c r="F591" t="inlineStr">
        <is>
          <t>KRONOBERGS LÄN</t>
        </is>
      </c>
      <c r="G591" t="inlineStr">
        <is>
          <t>LJUNGBY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45315</v>
      </c>
      <c r="E592" s="1" t="n">
        <v>46284</v>
      </c>
      <c r="F592" t="inlineStr">
        <is>
          <t>KRONOBERGS LÄN</t>
        </is>
      </c>
      <c r="G592" t="inlineStr">
        <is>
          <t>LJUNGBY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44959</v>
      </c>
      <c r="E593" s="1" t="n">
        <v>46284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44959</v>
      </c>
      <c r="E594" s="1" t="n">
        <v>46284</v>
      </c>
      <c r="F594" t="inlineStr">
        <is>
          <t>KRONOBERGS LÄN</t>
        </is>
      </c>
      <c r="G594" t="inlineStr">
        <is>
          <t>LJUNGBY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17635-2023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46284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45593</v>
      </c>
      <c r="E596" s="1" t="n">
        <v>46284</v>
      </c>
      <c r="F596" t="inlineStr">
        <is>
          <t>KRONOBERGS LÄN</t>
        </is>
      </c>
      <c r="G596" t="inlineStr">
        <is>
          <t>LJUNGBY</t>
        </is>
      </c>
      <c r="H596" t="inlineStr">
        <is>
          <t>Sveaskog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46006</v>
      </c>
      <c r="E597" s="1" t="n">
        <v>46284</v>
      </c>
      <c r="F597" t="inlineStr">
        <is>
          <t>KRONOBERGS LÄN</t>
        </is>
      </c>
      <c r="G597" t="inlineStr">
        <is>
          <t>LJUNGBY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29342-2024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45483</v>
      </c>
      <c r="E598" s="1" t="n">
        <v>46284</v>
      </c>
      <c r="F598" t="inlineStr">
        <is>
          <t>KRONOBERGS LÄN</t>
        </is>
      </c>
      <c r="G598" t="inlineStr">
        <is>
          <t>LJUNGBY</t>
        </is>
      </c>
      <c r="I598" t="n">
        <v>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46284</v>
      </c>
      <c r="F599" t="inlineStr">
        <is>
          <t>KRONOBERGS LÄN</t>
        </is>
      </c>
      <c r="G599" t="inlineStr">
        <is>
          <t>LJUNGBY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62292-2025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46284</v>
      </c>
      <c r="F600" t="inlineStr">
        <is>
          <t>KRONOBERGS LÄN</t>
        </is>
      </c>
      <c r="G600" t="inlineStr">
        <is>
          <t>LJUNGBY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56780-2024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46284</v>
      </c>
      <c r="F601" t="inlineStr">
        <is>
          <t>KRONOBERGS LÄN</t>
        </is>
      </c>
      <c r="G601" t="inlineStr">
        <is>
          <t>LJUNGBY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62206-2025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46006</v>
      </c>
      <c r="E602" s="1" t="n">
        <v>46284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62249-2025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46006</v>
      </c>
      <c r="E603" s="1" t="n">
        <v>46284</v>
      </c>
      <c r="F603" t="inlineStr">
        <is>
          <t>KRONOBERGS LÄN</t>
        </is>
      </c>
      <c r="G603" t="inlineStr">
        <is>
          <t>LJUNGBY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46284</v>
      </c>
      <c r="F604" t="inlineStr">
        <is>
          <t>KRONOBERGS LÄN</t>
        </is>
      </c>
      <c r="G604" t="inlineStr">
        <is>
          <t>LJUNGBY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46008</v>
      </c>
      <c r="E605" s="1" t="n">
        <v>46284</v>
      </c>
      <c r="F605" t="inlineStr">
        <is>
          <t>KRONOBERGS LÄN</t>
        </is>
      </c>
      <c r="G605" t="inlineStr">
        <is>
          <t>LJUNGBY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62670-2025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46008</v>
      </c>
      <c r="E606" s="1" t="n">
        <v>46284</v>
      </c>
      <c r="F606" t="inlineStr">
        <is>
          <t>KRONOBERGS LÄN</t>
        </is>
      </c>
      <c r="G606" t="inlineStr">
        <is>
          <t>LJUNGBY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62672-2025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46008</v>
      </c>
      <c r="E607" s="1" t="n">
        <v>46284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13608-2024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45390</v>
      </c>
      <c r="E608" s="1" t="n">
        <v>46284</v>
      </c>
      <c r="F608" t="inlineStr">
        <is>
          <t>KRONOBERGS LÄN</t>
        </is>
      </c>
      <c r="G608" t="inlineStr">
        <is>
          <t>LJUNGBY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73342-2021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44551</v>
      </c>
      <c r="E609" s="1" t="n">
        <v>46284</v>
      </c>
      <c r="F609" t="inlineStr">
        <is>
          <t>KRONOBERGS LÄN</t>
        </is>
      </c>
      <c r="G609" t="inlineStr">
        <is>
          <t>LJUNGBY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45267</v>
      </c>
      <c r="E610" s="1" t="n">
        <v>46284</v>
      </c>
      <c r="F610" t="inlineStr">
        <is>
          <t>KRONOBERGS LÄN</t>
        </is>
      </c>
      <c r="G610" t="inlineStr">
        <is>
          <t>LJUNGBY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47805-2023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46284</v>
      </c>
      <c r="F611" t="inlineStr">
        <is>
          <t>KRONOBERGS LÄN</t>
        </is>
      </c>
      <c r="G611" t="inlineStr">
        <is>
          <t>LJUNGBY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44971</v>
      </c>
      <c r="E612" s="1" t="n">
        <v>46284</v>
      </c>
      <c r="F612" t="inlineStr">
        <is>
          <t>KRONOBERGS LÄN</t>
        </is>
      </c>
      <c r="G612" t="inlineStr">
        <is>
          <t>LJUNGBY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44750</v>
      </c>
      <c r="E613" s="1" t="n">
        <v>46284</v>
      </c>
      <c r="F613" t="inlineStr">
        <is>
          <t>KRONOBERGS LÄN</t>
        </is>
      </c>
      <c r="G613" t="inlineStr">
        <is>
          <t>LJUNGBY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46284</v>
      </c>
      <c r="F614" t="inlineStr">
        <is>
          <t>KRONOBERGS LÄN</t>
        </is>
      </c>
      <c r="G614" t="inlineStr">
        <is>
          <t>LJUNGBY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63656-2025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46014</v>
      </c>
      <c r="E615" s="1" t="n">
        <v>46284</v>
      </c>
      <c r="F615" t="inlineStr">
        <is>
          <t>KRONOBERGS LÄN</t>
        </is>
      </c>
      <c r="G615" t="inlineStr">
        <is>
          <t>LJUNGBY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45121</v>
      </c>
      <c r="E616" s="1" t="n">
        <v>46284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44287-2023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45188</v>
      </c>
      <c r="E617" s="1" t="n">
        <v>46284</v>
      </c>
      <c r="F617" t="inlineStr">
        <is>
          <t>KRONOBERGS LÄN</t>
        </is>
      </c>
      <c r="G617" t="inlineStr">
        <is>
          <t>LJUNGBY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20284-2023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45056</v>
      </c>
      <c r="E618" s="1" t="n">
        <v>46284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55282-2024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45621</v>
      </c>
      <c r="E619" s="1" t="n">
        <v>46284</v>
      </c>
      <c r="F619" t="inlineStr">
        <is>
          <t>KRONOBERGS LÄN</t>
        </is>
      </c>
      <c r="G619" t="inlineStr">
        <is>
          <t>LJUNGBY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63878-2025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46020</v>
      </c>
      <c r="E620" s="1" t="n">
        <v>46284</v>
      </c>
      <c r="F620" t="inlineStr">
        <is>
          <t>KRONOBERGS LÄN</t>
        </is>
      </c>
      <c r="G620" t="inlineStr">
        <is>
          <t>LJUNGBY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46284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46284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46024</v>
      </c>
      <c r="E623" s="1" t="n">
        <v>46284</v>
      </c>
      <c r="F623" t="inlineStr">
        <is>
          <t>KRONOBERGS LÄN</t>
        </is>
      </c>
      <c r="G623" t="inlineStr">
        <is>
          <t>LJUNGBY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51495-2024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45604</v>
      </c>
      <c r="E624" s="1" t="n">
        <v>46284</v>
      </c>
      <c r="F624" t="inlineStr">
        <is>
          <t>KRONOBERGS LÄN</t>
        </is>
      </c>
      <c r="G624" t="inlineStr">
        <is>
          <t>LJUNGBY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35903-2022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44802</v>
      </c>
      <c r="E625" s="1" t="n">
        <v>46284</v>
      </c>
      <c r="F625" t="inlineStr">
        <is>
          <t>KRONOBERGS LÄN</t>
        </is>
      </c>
      <c r="G625" t="inlineStr">
        <is>
          <t>LJUNGBY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45240</v>
      </c>
      <c r="E626" s="1" t="n">
        <v>46284</v>
      </c>
      <c r="F626" t="inlineStr">
        <is>
          <t>KRONOBERGS LÄN</t>
        </is>
      </c>
      <c r="G626" t="inlineStr">
        <is>
          <t>LJUNGBY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59968-2025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45993</v>
      </c>
      <c r="E627" s="1" t="n">
        <v>46284</v>
      </c>
      <c r="F627" t="inlineStr">
        <is>
          <t>KRONOBERGS LÄN</t>
        </is>
      </c>
      <c r="G627" t="inlineStr">
        <is>
          <t>LJUNGBY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46284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59969-2025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45993</v>
      </c>
      <c r="E629" s="1" t="n">
        <v>46284</v>
      </c>
      <c r="F629" t="inlineStr">
        <is>
          <t>KRONOBERGS LÄN</t>
        </is>
      </c>
      <c r="G629" t="inlineStr">
        <is>
          <t>LJUNGBY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45441</v>
      </c>
      <c r="E630" s="1" t="n">
        <v>46284</v>
      </c>
      <c r="F630" t="inlineStr">
        <is>
          <t>KRONOBERGS LÄN</t>
        </is>
      </c>
      <c r="G630" t="inlineStr">
        <is>
          <t>LJUNGBY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24458-2026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46284</v>
      </c>
      <c r="F631" t="inlineStr">
        <is>
          <t>KRONOBERGS LÄN</t>
        </is>
      </c>
      <c r="G631" t="inlineStr">
        <is>
          <t>LJUNGBY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24459-2026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46170</v>
      </c>
      <c r="E632" s="1" t="n">
        <v>46284</v>
      </c>
      <c r="F632" t="inlineStr">
        <is>
          <t>KRONOBERGS LÄN</t>
        </is>
      </c>
      <c r="G632" t="inlineStr">
        <is>
          <t>LJUNGBY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46284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46284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46284</v>
      </c>
      <c r="F635" t="inlineStr">
        <is>
          <t>KRONOBERGS LÄN</t>
        </is>
      </c>
      <c r="G635" t="inlineStr">
        <is>
          <t>LJUNGBY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45119</v>
      </c>
      <c r="E636" s="1" t="n">
        <v>46284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46284</v>
      </c>
      <c r="F637" t="inlineStr">
        <is>
          <t>KRONOBERGS LÄN</t>
        </is>
      </c>
      <c r="G637" t="inlineStr">
        <is>
          <t>LJUNGBY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25048-2026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46174</v>
      </c>
      <c r="E638" s="1" t="n">
        <v>46284</v>
      </c>
      <c r="F638" t="inlineStr">
        <is>
          <t>KRONOBERGS LÄN</t>
        </is>
      </c>
      <c r="G638" t="inlineStr">
        <is>
          <t>LJUNGBY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63369-2023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45273</v>
      </c>
      <c r="E639" s="1" t="n">
        <v>46284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24334-2023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45081</v>
      </c>
      <c r="E640" s="1" t="n">
        <v>46284</v>
      </c>
      <c r="F640" t="inlineStr">
        <is>
          <t>KRONOBERGS LÄN</t>
        </is>
      </c>
      <c r="G640" t="inlineStr">
        <is>
          <t>LJUNGBY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38611-2023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45162</v>
      </c>
      <c r="E641" s="1" t="n">
        <v>46284</v>
      </c>
      <c r="F641" t="inlineStr">
        <is>
          <t>KRONOBERGS LÄN</t>
        </is>
      </c>
      <c r="G641" t="inlineStr">
        <is>
          <t>LJUNGBY</t>
        </is>
      </c>
      <c r="H641" t="inlineStr">
        <is>
          <t>Sveaskog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25427-2024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45463</v>
      </c>
      <c r="E642" s="1" t="n">
        <v>46284</v>
      </c>
      <c r="F642" t="inlineStr">
        <is>
          <t>KRONOBERGS LÄN</t>
        </is>
      </c>
      <c r="G642" t="inlineStr">
        <is>
          <t>LJUNGBY</t>
        </is>
      </c>
      <c r="H642" t="inlineStr">
        <is>
          <t>Sveaskog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45055</v>
      </c>
      <c r="E643" s="1" t="n">
        <v>46284</v>
      </c>
      <c r="F643" t="inlineStr">
        <is>
          <t>KRONOBERGS LÄN</t>
        </is>
      </c>
      <c r="G643" t="inlineStr">
        <is>
          <t>LJUNGBY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45349</v>
      </c>
      <c r="E644" s="1" t="n">
        <v>46284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20608-2025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45775</v>
      </c>
      <c r="E645" s="1" t="n">
        <v>46284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46284</v>
      </c>
      <c r="F646" t="inlineStr">
        <is>
          <t>KRONOBERGS LÄN</t>
        </is>
      </c>
      <c r="G646" t="inlineStr">
        <is>
          <t>LJUNGBY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46284</v>
      </c>
      <c r="F647" t="inlineStr">
        <is>
          <t>KRONOBERGS LÄN</t>
        </is>
      </c>
      <c r="G647" t="inlineStr">
        <is>
          <t>LJUNGBY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46284</v>
      </c>
      <c r="F648" t="inlineStr">
        <is>
          <t>KRONOBERGS LÄN</t>
        </is>
      </c>
      <c r="G648" t="inlineStr">
        <is>
          <t>LJUNGBY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61193-2022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44915</v>
      </c>
      <c r="E649" s="1" t="n">
        <v>46284</v>
      </c>
      <c r="F649" t="inlineStr">
        <is>
          <t>KRONOBERGS LÄN</t>
        </is>
      </c>
      <c r="G649" t="inlineStr">
        <is>
          <t>LJUNGBY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46284</v>
      </c>
      <c r="F650" t="inlineStr">
        <is>
          <t>KRONOBERGS LÄN</t>
        </is>
      </c>
      <c r="G650" t="inlineStr">
        <is>
          <t>LJUNGBY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46284</v>
      </c>
      <c r="F651" t="inlineStr">
        <is>
          <t>KRONOBERGS LÄN</t>
        </is>
      </c>
      <c r="G651" t="inlineStr">
        <is>
          <t>LJUNGBY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52858-2024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45610</v>
      </c>
      <c r="E652" s="1" t="n">
        <v>46284</v>
      </c>
      <c r="F652" t="inlineStr">
        <is>
          <t>KRONOBERGS LÄN</t>
        </is>
      </c>
      <c r="G652" t="inlineStr">
        <is>
          <t>LJUNGBY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24639-2026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46171</v>
      </c>
      <c r="E653" s="1" t="n">
        <v>46284</v>
      </c>
      <c r="F653" t="inlineStr">
        <is>
          <t>KRONOBERGS LÄN</t>
        </is>
      </c>
      <c r="G653" t="inlineStr">
        <is>
          <t>LJUNGBY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43343-2023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45183</v>
      </c>
      <c r="E654" s="1" t="n">
        <v>46284</v>
      </c>
      <c r="F654" t="inlineStr">
        <is>
          <t>KRONOBERGS LÄN</t>
        </is>
      </c>
      <c r="G654" t="inlineStr">
        <is>
          <t>LJUNGBY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46176</v>
      </c>
      <c r="E655" s="1" t="n">
        <v>46284</v>
      </c>
      <c r="F655" t="inlineStr">
        <is>
          <t>KRONOBERGS LÄN</t>
        </is>
      </c>
      <c r="G655" t="inlineStr">
        <is>
          <t>LJUNGBY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46284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46284</v>
      </c>
      <c r="F657" t="inlineStr">
        <is>
          <t>KRONOBERGS LÄN</t>
        </is>
      </c>
      <c r="G657" t="inlineStr">
        <is>
          <t>LJUNGBY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46284</v>
      </c>
      <c r="F658" t="inlineStr">
        <is>
          <t>KRONOBERGS LÄN</t>
        </is>
      </c>
      <c r="G658" t="inlineStr">
        <is>
          <t>LJUNGBY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39833-2023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45168</v>
      </c>
      <c r="E659" s="1" t="n">
        <v>46284</v>
      </c>
      <c r="F659" t="inlineStr">
        <is>
          <t>KRONOBERGS LÄN</t>
        </is>
      </c>
      <c r="G659" t="inlineStr">
        <is>
          <t>LJUNGBY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46284</v>
      </c>
      <c r="F660" t="inlineStr">
        <is>
          <t>KRONOBERGS LÄN</t>
        </is>
      </c>
      <c r="G660" t="inlineStr">
        <is>
          <t>LJUNGBY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46050</v>
      </c>
      <c r="E661" s="1" t="n">
        <v>46284</v>
      </c>
      <c r="F661" t="inlineStr">
        <is>
          <t>KRONOBERGS LÄN</t>
        </is>
      </c>
      <c r="G661" t="inlineStr">
        <is>
          <t>LJUNGBY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53411-2024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45614</v>
      </c>
      <c r="E662" s="1" t="n">
        <v>46284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53412-2024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45614</v>
      </c>
      <c r="E663" s="1" t="n">
        <v>46284</v>
      </c>
      <c r="F663" t="inlineStr">
        <is>
          <t>KRONOBERGS LÄN</t>
        </is>
      </c>
      <c r="G663" t="inlineStr">
        <is>
          <t>LJUNGBY</t>
        </is>
      </c>
      <c r="H663" t="inlineStr">
        <is>
          <t>Sveaskog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46054</v>
      </c>
      <c r="E664" s="1" t="n">
        <v>46284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46054</v>
      </c>
      <c r="E665" s="1" t="n">
        <v>46284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46054</v>
      </c>
      <c r="E666" s="1" t="n">
        <v>46284</v>
      </c>
      <c r="F666" t="inlineStr">
        <is>
          <t>KRONOBERGS LÄN</t>
        </is>
      </c>
      <c r="G666" t="inlineStr">
        <is>
          <t>LJUNGBY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46284</v>
      </c>
      <c r="F667" t="inlineStr">
        <is>
          <t>KRONOBERGS LÄN</t>
        </is>
      </c>
      <c r="G667" t="inlineStr">
        <is>
          <t>LJUNGBY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35488-2023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45146</v>
      </c>
      <c r="E668" s="1" t="n">
        <v>46284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73549-2021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44551</v>
      </c>
      <c r="E669" s="1" t="n">
        <v>46284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54984-2024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45620</v>
      </c>
      <c r="E670" s="1" t="n">
        <v>46284</v>
      </c>
      <c r="F670" t="inlineStr">
        <is>
          <t>KRONOBERGS LÄN</t>
        </is>
      </c>
      <c r="G670" t="inlineStr">
        <is>
          <t>LJUNGBY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54716-2023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45236</v>
      </c>
      <c r="E671" s="1" t="n">
        <v>46284</v>
      </c>
      <c r="F671" t="inlineStr">
        <is>
          <t>KRONOBERGS LÄN</t>
        </is>
      </c>
      <c r="G671" t="inlineStr">
        <is>
          <t>LJUNGBY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46059</v>
      </c>
      <c r="E672" s="1" t="n">
        <v>46284</v>
      </c>
      <c r="F672" t="inlineStr">
        <is>
          <t>KRONOBERGS LÄN</t>
        </is>
      </c>
      <c r="G672" t="inlineStr">
        <is>
          <t>LJUNGBY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5482-2023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44960</v>
      </c>
      <c r="E673" s="1" t="n">
        <v>46284</v>
      </c>
      <c r="F673" t="inlineStr">
        <is>
          <t>KRONOBERGS LÄN</t>
        </is>
      </c>
      <c r="G673" t="inlineStr">
        <is>
          <t>LJUNGBY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46059</v>
      </c>
      <c r="E674" s="1" t="n">
        <v>46284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7679-2026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46059</v>
      </c>
      <c r="E675" s="1" t="n">
        <v>46284</v>
      </c>
      <c r="F675" t="inlineStr">
        <is>
          <t>KRONOBERGS LÄN</t>
        </is>
      </c>
      <c r="G675" t="inlineStr">
        <is>
          <t>LJUNGBY</t>
        </is>
      </c>
      <c r="H675" t="inlineStr">
        <is>
          <t>Kyrkan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7658-2026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46062</v>
      </c>
      <c r="E676" s="1" t="n">
        <v>46284</v>
      </c>
      <c r="F676" t="inlineStr">
        <is>
          <t>KRONOBERGS LÄN</t>
        </is>
      </c>
      <c r="G676" t="inlineStr">
        <is>
          <t>LJUNGBY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44166-2023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45188</v>
      </c>
      <c r="E677" s="1" t="n">
        <v>46284</v>
      </c>
      <c r="F677" t="inlineStr">
        <is>
          <t>KRONOBERGS LÄN</t>
        </is>
      </c>
      <c r="G677" t="inlineStr">
        <is>
          <t>LJUNGBY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8046-2026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46284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46063</v>
      </c>
      <c r="E679" s="1" t="n">
        <v>46284</v>
      </c>
      <c r="F679" t="inlineStr">
        <is>
          <t>KRONOBERGS LÄN</t>
        </is>
      </c>
      <c r="G679" t="inlineStr">
        <is>
          <t>LJUNGBY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46063</v>
      </c>
      <c r="E680" s="1" t="n">
        <v>46284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46063</v>
      </c>
      <c r="E681" s="1" t="n">
        <v>46284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1720-2023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44938</v>
      </c>
      <c r="E682" s="1" t="n">
        <v>46284</v>
      </c>
      <c r="F682" t="inlineStr">
        <is>
          <t>KRONOBERGS LÄN</t>
        </is>
      </c>
      <c r="G682" t="inlineStr">
        <is>
          <t>LJUNGBY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59688-2022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44908</v>
      </c>
      <c r="E683" s="1" t="n">
        <v>46284</v>
      </c>
      <c r="F683" t="inlineStr">
        <is>
          <t>KRONOBERGS LÄN</t>
        </is>
      </c>
      <c r="G683" t="inlineStr">
        <is>
          <t>LJUNGBY</t>
        </is>
      </c>
      <c r="H683" t="inlineStr">
        <is>
          <t>Sveaskog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44946</v>
      </c>
      <c r="E684" s="1" t="n">
        <v>46284</v>
      </c>
      <c r="F684" t="inlineStr">
        <is>
          <t>KRONOBERGS LÄN</t>
        </is>
      </c>
      <c r="G684" t="inlineStr">
        <is>
          <t>LJUNGBY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8901-2024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45357</v>
      </c>
      <c r="E685" s="1" t="n">
        <v>46284</v>
      </c>
      <c r="F685" t="inlineStr">
        <is>
          <t>KRONOBERGS LÄN</t>
        </is>
      </c>
      <c r="G685" t="inlineStr">
        <is>
          <t>LJUNGBY</t>
        </is>
      </c>
      <c r="I685" t="n">
        <v>5.1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22123-2022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44712</v>
      </c>
      <c r="E686" s="1" t="n">
        <v>46284</v>
      </c>
      <c r="F686" t="inlineStr">
        <is>
          <t>KRONOBERGS LÄN</t>
        </is>
      </c>
      <c r="G686" t="inlineStr">
        <is>
          <t>LJUNGBY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9070-2026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46069</v>
      </c>
      <c r="E687" s="1" t="n">
        <v>46284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50568-2023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45217</v>
      </c>
      <c r="E688" s="1" t="n">
        <v>46284</v>
      </c>
      <c r="F688" t="inlineStr">
        <is>
          <t>KRONOBERGS LÄN</t>
        </is>
      </c>
      <c r="G688" t="inlineStr">
        <is>
          <t>LJUNGBY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46284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26230-2026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46182</v>
      </c>
      <c r="E690" s="1" t="n">
        <v>46284</v>
      </c>
      <c r="F690" t="inlineStr">
        <is>
          <t>KRONOBERGS LÄN</t>
        </is>
      </c>
      <c r="G690" t="inlineStr">
        <is>
          <t>LJUNGBY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45618</v>
      </c>
      <c r="E691" s="1" t="n">
        <v>46284</v>
      </c>
      <c r="F691" t="inlineStr">
        <is>
          <t>KRONOBERGS LÄN</t>
        </is>
      </c>
      <c r="G691" t="inlineStr">
        <is>
          <t>LJUNGBY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26195-2026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46284</v>
      </c>
      <c r="F692" t="inlineStr">
        <is>
          <t>KRONOBERGS LÄN</t>
        </is>
      </c>
      <c r="G692" t="inlineStr">
        <is>
          <t>LJUNGBY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42209-2024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45562</v>
      </c>
      <c r="E693" s="1" t="n">
        <v>46284</v>
      </c>
      <c r="F693" t="inlineStr">
        <is>
          <t>KRONOBERGS LÄN</t>
        </is>
      </c>
      <c r="G693" t="inlineStr">
        <is>
          <t>LJUNGBY</t>
        </is>
      </c>
      <c r="H693" t="inlineStr">
        <is>
          <t>Sveaskog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45509</v>
      </c>
      <c r="E694" s="1" t="n">
        <v>46284</v>
      </c>
      <c r="F694" t="inlineStr">
        <is>
          <t>KRONOBERGS LÄN</t>
        </is>
      </c>
      <c r="G694" t="inlineStr">
        <is>
          <t>LJUNGBY</t>
        </is>
      </c>
      <c r="H694" t="inlineStr">
        <is>
          <t>Sveaskog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46284</v>
      </c>
      <c r="F695" t="inlineStr">
        <is>
          <t>KRONOBERGS LÄN</t>
        </is>
      </c>
      <c r="G695" t="inlineStr">
        <is>
          <t>LJUNGBY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59696-2022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46284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10314-2026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46284</v>
      </c>
      <c r="F697" t="inlineStr">
        <is>
          <t>KRONOBERGS LÄN</t>
        </is>
      </c>
      <c r="G697" t="inlineStr">
        <is>
          <t>LJUNGBY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10573-2026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46077</v>
      </c>
      <c r="E698" s="1" t="n">
        <v>46284</v>
      </c>
      <c r="F698" t="inlineStr">
        <is>
          <t>KRONOBERGS LÄN</t>
        </is>
      </c>
      <c r="G698" t="inlineStr">
        <is>
          <t>LJUNGBY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45677</v>
      </c>
      <c r="E699" s="1" t="n">
        <v>46284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46284</v>
      </c>
      <c r="F700" t="inlineStr">
        <is>
          <t>KRONOBERGS LÄN</t>
        </is>
      </c>
      <c r="G700" t="inlineStr">
        <is>
          <t>LJUNGBY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26723-2026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46184</v>
      </c>
      <c r="E701" s="1" t="n">
        <v>46284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11107-2026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46079</v>
      </c>
      <c r="E702" s="1" t="n">
        <v>46284</v>
      </c>
      <c r="F702" t="inlineStr">
        <is>
          <t>KRONOBERGS LÄN</t>
        </is>
      </c>
      <c r="G702" t="inlineStr">
        <is>
          <t>LJUNGBY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45742</v>
      </c>
      <c r="E703" s="1" t="n">
        <v>46284</v>
      </c>
      <c r="F703" t="inlineStr">
        <is>
          <t>KRONOBERGS LÄN</t>
        </is>
      </c>
      <c r="G703" t="inlineStr">
        <is>
          <t>LJUNGBY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46284</v>
      </c>
      <c r="F704" t="inlineStr">
        <is>
          <t>KRONOBERGS LÄN</t>
        </is>
      </c>
      <c r="G704" t="inlineStr">
        <is>
          <t>LJUNGBY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43320-2024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45568</v>
      </c>
      <c r="E705" s="1" t="n">
        <v>46284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8798-2023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44978</v>
      </c>
      <c r="E706" s="1" t="n">
        <v>46284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11777-2026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46084</v>
      </c>
      <c r="E707" s="1" t="n">
        <v>46284</v>
      </c>
      <c r="F707" t="inlineStr">
        <is>
          <t>KRONOBERGS LÄN</t>
        </is>
      </c>
      <c r="G707" t="inlineStr">
        <is>
          <t>LJUNGBY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46087</v>
      </c>
      <c r="E708" s="1" t="n">
        <v>46284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13227-2025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46284</v>
      </c>
      <c r="F709" t="inlineStr">
        <is>
          <t>KRONOBERGS LÄN</t>
        </is>
      </c>
      <c r="G709" t="inlineStr">
        <is>
          <t>LJUNGBY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7269-2025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45702</v>
      </c>
      <c r="E710" s="1" t="n">
        <v>46284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33105-2023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45126</v>
      </c>
      <c r="E711" s="1" t="n">
        <v>46284</v>
      </c>
      <c r="F711" t="inlineStr">
        <is>
          <t>KRONOBERGS LÄN</t>
        </is>
      </c>
      <c r="G711" t="inlineStr">
        <is>
          <t>LJUNGBY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12653-2026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46091</v>
      </c>
      <c r="E712" s="1" t="n">
        <v>46284</v>
      </c>
      <c r="F712" t="inlineStr">
        <is>
          <t>KRONOBERGS LÄN</t>
        </is>
      </c>
      <c r="G712" t="inlineStr">
        <is>
          <t>LJUNGBY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12720-2026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46091</v>
      </c>
      <c r="E713" s="1" t="n">
        <v>46284</v>
      </c>
      <c r="F713" t="inlineStr">
        <is>
          <t>KRONOBERGS LÄN</t>
        </is>
      </c>
      <c r="G713" t="inlineStr">
        <is>
          <t>LJUNGBY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13533-2026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46094</v>
      </c>
      <c r="E714" s="1" t="n">
        <v>46284</v>
      </c>
      <c r="F714" t="inlineStr">
        <is>
          <t>KRONOBERGS LÄN</t>
        </is>
      </c>
      <c r="G714" t="inlineStr">
        <is>
          <t>LJUNGBY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24787-2023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45084</v>
      </c>
      <c r="E715" s="1" t="n">
        <v>46284</v>
      </c>
      <c r="F715" t="inlineStr">
        <is>
          <t>KRONOBERGS LÄN</t>
        </is>
      </c>
      <c r="G715" t="inlineStr">
        <is>
          <t>LJUNGBY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10697-2025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45722</v>
      </c>
      <c r="E716" s="1" t="n">
        <v>46284</v>
      </c>
      <c r="F716" t="inlineStr">
        <is>
          <t>KRONOBERGS LÄN</t>
        </is>
      </c>
      <c r="G716" t="inlineStr">
        <is>
          <t>LJUNGBY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13534-2026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46094</v>
      </c>
      <c r="E717" s="1" t="n">
        <v>46284</v>
      </c>
      <c r="F717" t="inlineStr">
        <is>
          <t>KRONOBERGS LÄN</t>
        </is>
      </c>
      <c r="G717" t="inlineStr">
        <is>
          <t>LJUNGBY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13734-2026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46097</v>
      </c>
      <c r="E718" s="1" t="n">
        <v>46284</v>
      </c>
      <c r="F718" t="inlineStr">
        <is>
          <t>KRONOBERGS LÄN</t>
        </is>
      </c>
      <c r="G718" t="inlineStr">
        <is>
          <t>LJUNGBY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13738-2026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46097</v>
      </c>
      <c r="E719" s="1" t="n">
        <v>46284</v>
      </c>
      <c r="F719" t="inlineStr">
        <is>
          <t>KRONOBERGS LÄN</t>
        </is>
      </c>
      <c r="G719" t="inlineStr">
        <is>
          <t>LJUNGBY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13781-2026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46097</v>
      </c>
      <c r="E720" s="1" t="n">
        <v>46284</v>
      </c>
      <c r="F720" t="inlineStr">
        <is>
          <t>KRONOBERGS LÄN</t>
        </is>
      </c>
      <c r="G720" t="inlineStr">
        <is>
          <t>LJUNGBY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13757-2026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46097</v>
      </c>
      <c r="E721" s="1" t="n">
        <v>46284</v>
      </c>
      <c r="F721" t="inlineStr">
        <is>
          <t>KRONOBERGS LÄN</t>
        </is>
      </c>
      <c r="G721" t="inlineStr">
        <is>
          <t>LJUNGBY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46284</v>
      </c>
      <c r="F722" t="inlineStr">
        <is>
          <t>KRONOBERGS LÄN</t>
        </is>
      </c>
      <c r="G722" t="inlineStr">
        <is>
          <t>LJUNGBY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46284</v>
      </c>
      <c r="F723" t="inlineStr">
        <is>
          <t>KRONOBERGS LÄN</t>
        </is>
      </c>
      <c r="G723" t="inlineStr">
        <is>
          <t>LJUNGBY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16727-2025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45754</v>
      </c>
      <c r="E724" s="1" t="n">
        <v>46284</v>
      </c>
      <c r="F724" t="inlineStr">
        <is>
          <t>KRONOBERGS LÄN</t>
        </is>
      </c>
      <c r="G724" t="inlineStr">
        <is>
          <t>LJUNGBY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37164-2022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44806</v>
      </c>
      <c r="E725" s="1" t="n">
        <v>46284</v>
      </c>
      <c r="F725" t="inlineStr">
        <is>
          <t>KRONOBERGS LÄN</t>
        </is>
      </c>
      <c r="G725" t="inlineStr">
        <is>
          <t>LJUNGBY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46284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46284</v>
      </c>
      <c r="F727" t="inlineStr">
        <is>
          <t>KRONOBERGS LÄN</t>
        </is>
      </c>
      <c r="G727" t="inlineStr">
        <is>
          <t>LJUNGBY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46284</v>
      </c>
      <c r="F728" t="inlineStr">
        <is>
          <t>KRONOBERGS LÄN</t>
        </is>
      </c>
      <c r="G728" t="inlineStr">
        <is>
          <t>LJUNGBY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27837-2026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46191</v>
      </c>
      <c r="E729" s="1" t="n">
        <v>46284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33497-2023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45131</v>
      </c>
      <c r="E730" s="1" t="n">
        <v>46284</v>
      </c>
      <c r="F730" t="inlineStr">
        <is>
          <t>KRONOBERGS LÄN</t>
        </is>
      </c>
      <c r="G730" t="inlineStr">
        <is>
          <t>LJUNGBY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28060-2026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46195</v>
      </c>
      <c r="E731" s="1" t="n">
        <v>46284</v>
      </c>
      <c r="F731" t="inlineStr">
        <is>
          <t>KRONOBERGS LÄN</t>
        </is>
      </c>
      <c r="G731" t="inlineStr">
        <is>
          <t>LJUNGBY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46284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11509-2024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45372</v>
      </c>
      <c r="E733" s="1" t="n">
        <v>46284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15660-2026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46284</v>
      </c>
      <c r="F734" t="inlineStr">
        <is>
          <t>KRONOBERGS LÄN</t>
        </is>
      </c>
      <c r="G734" t="inlineStr">
        <is>
          <t>LJUNGBY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46284</v>
      </c>
      <c r="F735" t="inlineStr">
        <is>
          <t>KRONOBERGS LÄN</t>
        </is>
      </c>
      <c r="G735" t="inlineStr">
        <is>
          <t>LJUNGBY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32509-2023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45121</v>
      </c>
      <c r="E736" s="1" t="n">
        <v>46284</v>
      </c>
      <c r="F736" t="inlineStr">
        <is>
          <t>KRONOBERGS LÄN</t>
        </is>
      </c>
      <c r="G736" t="inlineStr">
        <is>
          <t>LJUNGBY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46197</v>
      </c>
      <c r="E737" s="1" t="n">
        <v>46284</v>
      </c>
      <c r="F737" t="inlineStr">
        <is>
          <t>KRONOBERGS LÄN</t>
        </is>
      </c>
      <c r="G737" t="inlineStr">
        <is>
          <t>LJUNGBY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15716-2026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46284</v>
      </c>
      <c r="F738" t="inlineStr">
        <is>
          <t>KRONOBERGS LÄN</t>
        </is>
      </c>
      <c r="G738" t="inlineStr">
        <is>
          <t>LJUNGBY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27843-2022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44743</v>
      </c>
      <c r="E739" s="1" t="n">
        <v>46284</v>
      </c>
      <c r="F739" t="inlineStr">
        <is>
          <t>KRONOBERGS LÄN</t>
        </is>
      </c>
      <c r="G739" t="inlineStr">
        <is>
          <t>LJUNGBY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28825-2026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46284</v>
      </c>
      <c r="F740" t="inlineStr">
        <is>
          <t>KRONOBERGS LÄN</t>
        </is>
      </c>
      <c r="G740" t="inlineStr">
        <is>
          <t>LJUNGBY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10939-2023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44991</v>
      </c>
      <c r="E741" s="1" t="n">
        <v>46284</v>
      </c>
      <c r="F741" t="inlineStr">
        <is>
          <t>KRONOBERGS LÄN</t>
        </is>
      </c>
      <c r="G741" t="inlineStr">
        <is>
          <t>LJUNGBY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15766-2026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46284</v>
      </c>
      <c r="F742" t="inlineStr">
        <is>
          <t>KRONOBERGS LÄN</t>
        </is>
      </c>
      <c r="G742" t="inlineStr">
        <is>
          <t>LJUNGBY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46284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17286-2023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45035</v>
      </c>
      <c r="E744" s="1" t="n">
        <v>46284</v>
      </c>
      <c r="F744" t="inlineStr">
        <is>
          <t>KRONOBERGS LÄN</t>
        </is>
      </c>
      <c r="G744" t="inlineStr">
        <is>
          <t>LJUNGBY</t>
        </is>
      </c>
      <c r="I744" t="n">
        <v>10.4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53345-2024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45614</v>
      </c>
      <c r="E745" s="1" t="n">
        <v>46284</v>
      </c>
      <c r="F745" t="inlineStr">
        <is>
          <t>KRONOBERGS LÄN</t>
        </is>
      </c>
      <c r="G745" t="inlineStr">
        <is>
          <t>LJUNGBY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46284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46864-2022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44851</v>
      </c>
      <c r="E747" s="1" t="n">
        <v>46284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46284</v>
      </c>
      <c r="F748" t="inlineStr">
        <is>
          <t>KRONOBERGS LÄN</t>
        </is>
      </c>
      <c r="G748" t="inlineStr">
        <is>
          <t>LJUNGBY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28819-2026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46284</v>
      </c>
      <c r="F749" t="inlineStr">
        <is>
          <t>KRONOBERGS LÄN</t>
        </is>
      </c>
      <c r="G749" t="inlineStr">
        <is>
          <t>LJUNGBY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16351-2026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46111</v>
      </c>
      <c r="E750" s="1" t="n">
        <v>46284</v>
      </c>
      <c r="F750" t="inlineStr">
        <is>
          <t>KRONOBERGS LÄN</t>
        </is>
      </c>
      <c r="G750" t="inlineStr">
        <is>
          <t>LJUNGBY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44988</v>
      </c>
      <c r="E751" s="1" t="n">
        <v>46284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7597-2025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45705</v>
      </c>
      <c r="E752" s="1" t="n">
        <v>46284</v>
      </c>
      <c r="F752" t="inlineStr">
        <is>
          <t>KRONOBERGS LÄN</t>
        </is>
      </c>
      <c r="G752" t="inlineStr">
        <is>
          <t>LJUNGBY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46284</v>
      </c>
      <c r="F753" t="inlineStr">
        <is>
          <t>KRONOBERGS LÄN</t>
        </is>
      </c>
      <c r="G753" t="inlineStr">
        <is>
          <t>LJUNGBY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46284</v>
      </c>
      <c r="F754" t="inlineStr">
        <is>
          <t>KRONOBERGS LÄN</t>
        </is>
      </c>
      <c r="G754" t="inlineStr">
        <is>
          <t>LJUNGBY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16779-2026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46113</v>
      </c>
      <c r="E755" s="1" t="n">
        <v>46284</v>
      </c>
      <c r="F755" t="inlineStr">
        <is>
          <t>KRONOBERGS LÄN</t>
        </is>
      </c>
      <c r="G755" t="inlineStr">
        <is>
          <t>LJUNGBY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25616-2023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45089</v>
      </c>
      <c r="E756" s="1" t="n">
        <v>46284</v>
      </c>
      <c r="F756" t="inlineStr">
        <is>
          <t>KRONOBERGS LÄN</t>
        </is>
      </c>
      <c r="G756" t="inlineStr">
        <is>
          <t>LJUNGBY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46284</v>
      </c>
      <c r="F757" t="inlineStr">
        <is>
          <t>KRONOBERGS LÄN</t>
        </is>
      </c>
      <c r="G757" t="inlineStr">
        <is>
          <t>LJUNGBY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8835-2024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45356</v>
      </c>
      <c r="E758" s="1" t="n">
        <v>46284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46113</v>
      </c>
      <c r="E759" s="1" t="n">
        <v>46284</v>
      </c>
      <c r="F759" t="inlineStr">
        <is>
          <t>KRONOBERGS LÄN</t>
        </is>
      </c>
      <c r="G759" t="inlineStr">
        <is>
          <t>LJUNGBY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46284</v>
      </c>
      <c r="F760" t="inlineStr">
        <is>
          <t>KRONOBERGS LÄN</t>
        </is>
      </c>
      <c r="G760" t="inlineStr">
        <is>
          <t>LJUNGBY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46284</v>
      </c>
      <c r="F761" t="inlineStr">
        <is>
          <t>KRONOBERGS LÄN</t>
        </is>
      </c>
      <c r="G761" t="inlineStr">
        <is>
          <t>LJUNGBY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17488-2026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46120</v>
      </c>
      <c r="E762" s="1" t="n">
        <v>46284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46284</v>
      </c>
      <c r="F763" t="inlineStr">
        <is>
          <t>KRONOBERGS LÄN</t>
        </is>
      </c>
      <c r="G763" t="inlineStr">
        <is>
          <t>LJUNGBY</t>
        </is>
      </c>
      <c r="H763" t="inlineStr">
        <is>
          <t>Sveaskog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46284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42747-2025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45908</v>
      </c>
      <c r="E765" s="1" t="n">
        <v>46284</v>
      </c>
      <c r="F765" t="inlineStr">
        <is>
          <t>KRONOBERGS LÄN</t>
        </is>
      </c>
      <c r="G765" t="inlineStr">
        <is>
          <t>LJUNGBY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17246-2026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46119</v>
      </c>
      <c r="E766" s="1" t="n">
        <v>46284</v>
      </c>
      <c r="F766" t="inlineStr">
        <is>
          <t>KRONOBERGS LÄN</t>
        </is>
      </c>
      <c r="G766" t="inlineStr">
        <is>
          <t>LJUNGBY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4027-2024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45323</v>
      </c>
      <c r="E767" s="1" t="n">
        <v>46284</v>
      </c>
      <c r="F767" t="inlineStr">
        <is>
          <t>KRONOBERGS LÄN</t>
        </is>
      </c>
      <c r="G767" t="inlineStr">
        <is>
          <t>LJUNGBY</t>
        </is>
      </c>
      <c r="H767" t="inlineStr">
        <is>
          <t>Kommuner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11686-2024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45373</v>
      </c>
      <c r="E768" s="1" t="n">
        <v>46284</v>
      </c>
      <c r="F768" t="inlineStr">
        <is>
          <t>KRONOBERGS LÄN</t>
        </is>
      </c>
      <c r="G768" t="inlineStr">
        <is>
          <t>LJUNGBY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46284</v>
      </c>
      <c r="F769" t="inlineStr">
        <is>
          <t>KRONOBERGS LÄN</t>
        </is>
      </c>
      <c r="G769" t="inlineStr">
        <is>
          <t>LJUNGBY</t>
        </is>
      </c>
      <c r="H769" t="inlineStr">
        <is>
          <t>Sveaskog</t>
        </is>
      </c>
      <c r="I769" t="n">
        <v>14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46284</v>
      </c>
      <c r="F770" t="inlineStr">
        <is>
          <t>KRONOBERGS LÄN</t>
        </is>
      </c>
      <c r="G770" t="inlineStr">
        <is>
          <t>LJUNGBY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62537-2022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44924</v>
      </c>
      <c r="E771" s="1" t="n">
        <v>46284</v>
      </c>
      <c r="F771" t="inlineStr">
        <is>
          <t>KRONOBERGS LÄN</t>
        </is>
      </c>
      <c r="G771" t="inlineStr">
        <is>
          <t>LJUNGBY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46284</v>
      </c>
      <c r="F772" t="inlineStr">
        <is>
          <t>KRONOBERGS LÄN</t>
        </is>
      </c>
      <c r="G772" t="inlineStr">
        <is>
          <t>LJUNGBY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32843-2026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46284</v>
      </c>
      <c r="F773" t="inlineStr">
        <is>
          <t>KRONOBERGS LÄN</t>
        </is>
      </c>
      <c r="G773" t="inlineStr">
        <is>
          <t>LJUNGBY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55342-2024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45621</v>
      </c>
      <c r="E774" s="1" t="n">
        <v>46284</v>
      </c>
      <c r="F774" t="inlineStr">
        <is>
          <t>KRONOBERGS LÄN</t>
        </is>
      </c>
      <c r="G774" t="inlineStr">
        <is>
          <t>LJUNGBY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29768-2026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46284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33114-2023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45126</v>
      </c>
      <c r="E776" s="1" t="n">
        <v>46284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59250-2023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45253</v>
      </c>
      <c r="E777" s="1" t="n">
        <v>46284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37721-2022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44810</v>
      </c>
      <c r="E778" s="1" t="n">
        <v>46284</v>
      </c>
      <c r="F778" t="inlineStr">
        <is>
          <t>KRONOBERGS LÄN</t>
        </is>
      </c>
      <c r="G778" t="inlineStr">
        <is>
          <t>LJUNGBY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62366-2022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44923</v>
      </c>
      <c r="E779" s="1" t="n">
        <v>46284</v>
      </c>
      <c r="F779" t="inlineStr">
        <is>
          <t>KRONOBERGS LÄN</t>
        </is>
      </c>
      <c r="G779" t="inlineStr">
        <is>
          <t>LJUNGBY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43757-2023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45187</v>
      </c>
      <c r="E780" s="1" t="n">
        <v>46284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33475-2026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46284</v>
      </c>
      <c r="F781" t="inlineStr">
        <is>
          <t>KRONOBERGS LÄN</t>
        </is>
      </c>
      <c r="G781" t="inlineStr">
        <is>
          <t>LJUNGBY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23319-2023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45076</v>
      </c>
      <c r="E782" s="1" t="n">
        <v>46284</v>
      </c>
      <c r="F782" t="inlineStr">
        <is>
          <t>KRONOBERGS LÄN</t>
        </is>
      </c>
      <c r="G782" t="inlineStr">
        <is>
          <t>LJUNGBY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34209-2024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45524</v>
      </c>
      <c r="E783" s="1" t="n">
        <v>46284</v>
      </c>
      <c r="F783" t="inlineStr">
        <is>
          <t>KRONOBERGS LÄN</t>
        </is>
      </c>
      <c r="G783" t="inlineStr">
        <is>
          <t>LJUNGBY</t>
        </is>
      </c>
      <c r="I783" t="n">
        <v>12.1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46284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46284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28323-2023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45099</v>
      </c>
      <c r="E786" s="1" t="n">
        <v>46284</v>
      </c>
      <c r="F786" t="inlineStr">
        <is>
          <t>KRONOBERGS LÄN</t>
        </is>
      </c>
      <c r="G786" t="inlineStr">
        <is>
          <t>LJUNGBY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10997-2022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44628</v>
      </c>
      <c r="E787" s="1" t="n">
        <v>46284</v>
      </c>
      <c r="F787" t="inlineStr">
        <is>
          <t>KRONOBERGS LÄN</t>
        </is>
      </c>
      <c r="G787" t="inlineStr">
        <is>
          <t>LJUNGBY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45119</v>
      </c>
      <c r="E788" s="1" t="n">
        <v>46284</v>
      </c>
      <c r="F788" t="inlineStr">
        <is>
          <t>KRONOBERGS LÄN</t>
        </is>
      </c>
      <c r="G788" t="inlineStr">
        <is>
          <t>LJUNGBY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46134</v>
      </c>
      <c r="E789" s="1" t="n">
        <v>46284</v>
      </c>
      <c r="F789" t="inlineStr">
        <is>
          <t>KRONOBERGS LÄN</t>
        </is>
      </c>
      <c r="G789" t="inlineStr">
        <is>
          <t>LJUNGBY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10755-2023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44988</v>
      </c>
      <c r="E790" s="1" t="n">
        <v>46284</v>
      </c>
      <c r="F790" t="inlineStr">
        <is>
          <t>KRONOBERGS LÄN</t>
        </is>
      </c>
      <c r="G790" t="inlineStr">
        <is>
          <t>LJUNGBY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37374-2022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44809</v>
      </c>
      <c r="E791" s="1" t="n">
        <v>46284</v>
      </c>
      <c r="F791" t="inlineStr">
        <is>
          <t>KRONOBERGS LÄN</t>
        </is>
      </c>
      <c r="G791" t="inlineStr">
        <is>
          <t>LJUNGBY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37374-2022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44809</v>
      </c>
      <c r="E792" s="1" t="n">
        <v>46284</v>
      </c>
      <c r="F792" t="inlineStr">
        <is>
          <t>KRONOBERGS LÄN</t>
        </is>
      </c>
      <c r="G792" t="inlineStr">
        <is>
          <t>LJUNGBY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37661-2025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45880</v>
      </c>
      <c r="E793" s="1" t="n">
        <v>46284</v>
      </c>
      <c r="F793" t="inlineStr">
        <is>
          <t>KRONOBERGS LÄN</t>
        </is>
      </c>
      <c r="G793" t="inlineStr">
        <is>
          <t>LJUNGBY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41979-2025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45903</v>
      </c>
      <c r="E794" s="1" t="n">
        <v>46284</v>
      </c>
      <c r="F794" t="inlineStr">
        <is>
          <t>KRONOBERGS LÄN</t>
        </is>
      </c>
      <c r="G794" t="inlineStr">
        <is>
          <t>LJUNGBY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56385-2022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44887</v>
      </c>
      <c r="E795" s="1" t="n">
        <v>46284</v>
      </c>
      <c r="F795" t="inlineStr">
        <is>
          <t>KRONOBERGS LÄN</t>
        </is>
      </c>
      <c r="G795" t="inlineStr">
        <is>
          <t>LJUNGBY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46284</v>
      </c>
      <c r="F796" t="inlineStr">
        <is>
          <t>KRONOBERGS LÄN</t>
        </is>
      </c>
      <c r="G796" t="inlineStr">
        <is>
          <t>LJUNGBY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13480-2023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45005</v>
      </c>
      <c r="E797" s="1" t="n">
        <v>46284</v>
      </c>
      <c r="F797" t="inlineStr">
        <is>
          <t>KRONOBERGS LÄN</t>
        </is>
      </c>
      <c r="G797" t="inlineStr">
        <is>
          <t>LJUNGBY</t>
        </is>
      </c>
      <c r="I797" t="n">
        <v>10.3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51172-2022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44868</v>
      </c>
      <c r="E798" s="1" t="n">
        <v>46284</v>
      </c>
      <c r="F798" t="inlineStr">
        <is>
          <t>KRONOBERGS LÄN</t>
        </is>
      </c>
      <c r="G798" t="inlineStr">
        <is>
          <t>LJUNGBY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30720-2025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45831</v>
      </c>
      <c r="E799" s="1" t="n">
        <v>46284</v>
      </c>
      <c r="F799" t="inlineStr">
        <is>
          <t>KRONOBERGS LÄN</t>
        </is>
      </c>
      <c r="G799" t="inlineStr">
        <is>
          <t>LJUNGBY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33075-2023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45126</v>
      </c>
      <c r="E800" s="1" t="n">
        <v>46284</v>
      </c>
      <c r="F800" t="inlineStr">
        <is>
          <t>KRONOBERGS LÄN</t>
        </is>
      </c>
      <c r="G800" t="inlineStr">
        <is>
          <t>LJUNGBY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44565</v>
      </c>
      <c r="E801" s="1" t="n">
        <v>46284</v>
      </c>
      <c r="F801" t="inlineStr">
        <is>
          <t>KRONOBERGS LÄN</t>
        </is>
      </c>
      <c r="G801" t="inlineStr">
        <is>
          <t>LJUNGBY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14796-2025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46284</v>
      </c>
      <c r="F802" t="inlineStr">
        <is>
          <t>KRONOBERGS LÄN</t>
        </is>
      </c>
      <c r="G802" t="inlineStr">
        <is>
          <t>LJUNGBY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44276-2023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45188</v>
      </c>
      <c r="E803" s="1" t="n">
        <v>46284</v>
      </c>
      <c r="F803" t="inlineStr">
        <is>
          <t>KRONOBERGS LÄN</t>
        </is>
      </c>
      <c r="G803" t="inlineStr">
        <is>
          <t>LJUNGBY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38656-2024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45546</v>
      </c>
      <c r="E804" s="1" t="n">
        <v>46284</v>
      </c>
      <c r="F804" t="inlineStr">
        <is>
          <t>KRONOBERGS LÄN</t>
        </is>
      </c>
      <c r="G804" t="inlineStr">
        <is>
          <t>LJUNGBY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14230-2022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44651</v>
      </c>
      <c r="E805" s="1" t="n">
        <v>46284</v>
      </c>
      <c r="F805" t="inlineStr">
        <is>
          <t>KRONOBERGS LÄN</t>
        </is>
      </c>
      <c r="G805" t="inlineStr">
        <is>
          <t>LJUNGBY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30604-2026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46284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33224-2026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46246</v>
      </c>
      <c r="E807" s="1" t="n">
        <v>46284</v>
      </c>
      <c r="F807" t="inlineStr">
        <is>
          <t>KRONOBERGS LÄN</t>
        </is>
      </c>
      <c r="G807" t="inlineStr">
        <is>
          <t>LJUNGBY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30033-2026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46284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4017-2024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45323</v>
      </c>
      <c r="E809" s="1" t="n">
        <v>46284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30146-2026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46284</v>
      </c>
      <c r="F810" t="inlineStr">
        <is>
          <t>KRONOBERGS LÄN</t>
        </is>
      </c>
      <c r="G810" t="inlineStr">
        <is>
          <t>LJUNGBY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14476-2023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45012</v>
      </c>
      <c r="E811" s="1" t="n">
        <v>46284</v>
      </c>
      <c r="F811" t="inlineStr">
        <is>
          <t>KRONOBERGS LÄN</t>
        </is>
      </c>
      <c r="G811" t="inlineStr">
        <is>
          <t>LJUNGBY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33839-2026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46284</v>
      </c>
      <c r="F812" t="inlineStr">
        <is>
          <t>KRONOBERGS LÄN</t>
        </is>
      </c>
      <c r="G812" t="inlineStr">
        <is>
          <t>LJUNGBY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42686-2023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45181</v>
      </c>
      <c r="E813" s="1" t="n">
        <v>46284</v>
      </c>
      <c r="F813" t="inlineStr">
        <is>
          <t>KRONOBERGS LÄN</t>
        </is>
      </c>
      <c r="G813" t="inlineStr">
        <is>
          <t>LJUNGBY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38407-2022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44812</v>
      </c>
      <c r="E814" s="1" t="n">
        <v>46284</v>
      </c>
      <c r="F814" t="inlineStr">
        <is>
          <t>KRONOBERGS LÄN</t>
        </is>
      </c>
      <c r="G814" t="inlineStr">
        <is>
          <t>LJUNGBY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48243-2023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45205</v>
      </c>
      <c r="E815" s="1" t="n">
        <v>46284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9288-2023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44980</v>
      </c>
      <c r="E816" s="1" t="n">
        <v>46284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37648-2022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44810</v>
      </c>
      <c r="E817" s="1" t="n">
        <v>46284</v>
      </c>
      <c r="F817" t="inlineStr">
        <is>
          <t>KRONOBERGS LÄN</t>
        </is>
      </c>
      <c r="G817" t="inlineStr">
        <is>
          <t>LJUNGBY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30035-2026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46206</v>
      </c>
      <c r="E818" s="1" t="n">
        <v>46284</v>
      </c>
      <c r="F818" t="inlineStr">
        <is>
          <t>KRONOBERGS LÄN</t>
        </is>
      </c>
      <c r="G818" t="inlineStr">
        <is>
          <t>LJUNGBY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30208-2026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46206</v>
      </c>
      <c r="E819" s="1" t="n">
        <v>46284</v>
      </c>
      <c r="F819" t="inlineStr">
        <is>
          <t>KRONOBERGS LÄN</t>
        </is>
      </c>
      <c r="G819" t="inlineStr">
        <is>
          <t>LJUNGBY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30218-2026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46284</v>
      </c>
      <c r="F820" t="inlineStr">
        <is>
          <t>KRONOBERGS LÄN</t>
        </is>
      </c>
      <c r="G820" t="inlineStr">
        <is>
          <t>LJUNGBY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53865-2023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45231</v>
      </c>
      <c r="E821" s="1" t="n">
        <v>46284</v>
      </c>
      <c r="F821" t="inlineStr">
        <is>
          <t>KRONOBERGS LÄN</t>
        </is>
      </c>
      <c r="G821" t="inlineStr">
        <is>
          <t>LJUNGBY</t>
        </is>
      </c>
      <c r="I821" t="n">
        <v>6.6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17298-2023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45035</v>
      </c>
      <c r="E822" s="1" t="n">
        <v>46284</v>
      </c>
      <c r="F822" t="inlineStr">
        <is>
          <t>KRONOBERGS LÄN</t>
        </is>
      </c>
      <c r="G822" t="inlineStr">
        <is>
          <t>LJUNGBY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23590-2023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45077</v>
      </c>
      <c r="E823" s="1" t="n">
        <v>46284</v>
      </c>
      <c r="F823" t="inlineStr">
        <is>
          <t>KRONOBERGS LÄN</t>
        </is>
      </c>
      <c r="G823" t="inlineStr">
        <is>
          <t>LJUNGBY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2840-2023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44945</v>
      </c>
      <c r="E824" s="1" t="n">
        <v>46284</v>
      </c>
      <c r="F824" t="inlineStr">
        <is>
          <t>KRONOBERGS LÄN</t>
        </is>
      </c>
      <c r="G824" t="inlineStr">
        <is>
          <t>LJUNGBY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46284</v>
      </c>
      <c r="F825" t="inlineStr">
        <is>
          <t>KRONOBERGS LÄN</t>
        </is>
      </c>
      <c r="G825" t="inlineStr">
        <is>
          <t>LJUNGBY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46252</v>
      </c>
      <c r="E826" s="1" t="n">
        <v>46284</v>
      </c>
      <c r="F826" t="inlineStr">
        <is>
          <t>KRONOBERGS LÄN</t>
        </is>
      </c>
      <c r="G826" t="inlineStr">
        <is>
          <t>LJUNGBY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23654-2022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44721</v>
      </c>
      <c r="E827" s="1" t="n">
        <v>46284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45300</v>
      </c>
      <c r="E828" s="1" t="n">
        <v>46284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49302-2023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45210</v>
      </c>
      <c r="E829" s="1" t="n">
        <v>46284</v>
      </c>
      <c r="F829" t="inlineStr">
        <is>
          <t>KRONOBERGS LÄN</t>
        </is>
      </c>
      <c r="G829" t="inlineStr">
        <is>
          <t>LJUNGBY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53539-2024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45614</v>
      </c>
      <c r="E830" s="1" t="n">
        <v>46284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60248-2022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44903</v>
      </c>
      <c r="E831" s="1" t="n">
        <v>46284</v>
      </c>
      <c r="F831" t="inlineStr">
        <is>
          <t>KRONOBERGS LÄN</t>
        </is>
      </c>
      <c r="G831" t="inlineStr">
        <is>
          <t>LJUNGBY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21758-2023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45065</v>
      </c>
      <c r="E832" s="1" t="n">
        <v>46284</v>
      </c>
      <c r="F832" t="inlineStr">
        <is>
          <t>KRONOBERGS LÄN</t>
        </is>
      </c>
      <c r="G832" t="inlineStr">
        <is>
          <t>LJUNGBY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34300-2026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46253</v>
      </c>
      <c r="E833" s="1" t="n">
        <v>46284</v>
      </c>
      <c r="F833" t="inlineStr">
        <is>
          <t>KRONOBERGS LÄN</t>
        </is>
      </c>
      <c r="G833" t="inlineStr">
        <is>
          <t>LJUNGBY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52291-2023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45224</v>
      </c>
      <c r="E834" s="1" t="n">
        <v>46284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51710-2024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45607</v>
      </c>
      <c r="E835" s="1" t="n">
        <v>46284</v>
      </c>
      <c r="F835" t="inlineStr">
        <is>
          <t>KRONOBERGS LÄN</t>
        </is>
      </c>
      <c r="G835" t="inlineStr">
        <is>
          <t>LJUNGBY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23160-2023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45075</v>
      </c>
      <c r="E836" s="1" t="n">
        <v>46284</v>
      </c>
      <c r="F836" t="inlineStr">
        <is>
          <t>KRONOBERGS LÄN</t>
        </is>
      </c>
      <c r="G836" t="inlineStr">
        <is>
          <t>LJUNGBY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34395-2026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46254</v>
      </c>
      <c r="E837" s="1" t="n">
        <v>46284</v>
      </c>
      <c r="F837" t="inlineStr">
        <is>
          <t>KRONOBERGS LÄN</t>
        </is>
      </c>
      <c r="G837" t="inlineStr">
        <is>
          <t>LJUNGBY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53792-2024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45615</v>
      </c>
      <c r="E838" s="1" t="n">
        <v>46284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51852-2023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45223</v>
      </c>
      <c r="E839" s="1" t="n">
        <v>46284</v>
      </c>
      <c r="F839" t="inlineStr">
        <is>
          <t>KRONOBERGS LÄN</t>
        </is>
      </c>
      <c r="G839" t="inlineStr">
        <is>
          <t>LJUNGBY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51856-2023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45223</v>
      </c>
      <c r="E840" s="1" t="n">
        <v>46284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30751-2026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46211</v>
      </c>
      <c r="E841" s="1" t="n">
        <v>46284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22615-2023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45071</v>
      </c>
      <c r="E842" s="1" t="n">
        <v>46284</v>
      </c>
      <c r="F842" t="inlineStr">
        <is>
          <t>KRONOBERGS LÄN</t>
        </is>
      </c>
      <c r="G842" t="inlineStr">
        <is>
          <t>LJUNGBY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22619-2023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45071</v>
      </c>
      <c r="E843" s="1" t="n">
        <v>46284</v>
      </c>
      <c r="F843" t="inlineStr">
        <is>
          <t>KRONOBERGS LÄN</t>
        </is>
      </c>
      <c r="G843" t="inlineStr">
        <is>
          <t>LJUNGBY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30750-2026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46211</v>
      </c>
      <c r="E844" s="1" t="n">
        <v>46284</v>
      </c>
      <c r="F844" t="inlineStr">
        <is>
          <t>KRONOBERGS LÄN</t>
        </is>
      </c>
      <c r="G844" t="inlineStr">
        <is>
          <t>LJUNGBY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12939-2022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44642</v>
      </c>
      <c r="E845" s="1" t="n">
        <v>46284</v>
      </c>
      <c r="F845" t="inlineStr">
        <is>
          <t>KRONOBERGS LÄN</t>
        </is>
      </c>
      <c r="G845" t="inlineStr">
        <is>
          <t>LJUNGBY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1043-2024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45301</v>
      </c>
      <c r="E846" s="1" t="n">
        <v>46284</v>
      </c>
      <c r="F846" t="inlineStr">
        <is>
          <t>KRONOBERGS LÄN</t>
        </is>
      </c>
      <c r="G846" t="inlineStr">
        <is>
          <t>LJUNGBY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22122-2022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44712</v>
      </c>
      <c r="E847" s="1" t="n">
        <v>46284</v>
      </c>
      <c r="F847" t="inlineStr">
        <is>
          <t>KRONOBERGS LÄN</t>
        </is>
      </c>
      <c r="G847" t="inlineStr">
        <is>
          <t>LJUNGBY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31148-2026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46216</v>
      </c>
      <c r="E848" s="1" t="n">
        <v>46284</v>
      </c>
      <c r="F848" t="inlineStr">
        <is>
          <t>KRONOBERGS LÄN</t>
        </is>
      </c>
      <c r="G848" t="inlineStr">
        <is>
          <t>LJUNGBY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45919-2023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45195</v>
      </c>
      <c r="E849" s="1" t="n">
        <v>46284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22610-2023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45071</v>
      </c>
      <c r="E850" s="1" t="n">
        <v>46284</v>
      </c>
      <c r="F850" t="inlineStr">
        <is>
          <t>KRONOBERGS LÄN</t>
        </is>
      </c>
      <c r="G850" t="inlineStr">
        <is>
          <t>LJUNGBY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22613-2023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45071</v>
      </c>
      <c r="E851" s="1" t="n">
        <v>46284</v>
      </c>
      <c r="F851" t="inlineStr">
        <is>
          <t>KRONOBERGS LÄN</t>
        </is>
      </c>
      <c r="G851" t="inlineStr">
        <is>
          <t>LJUNGBY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7535-2025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45705</v>
      </c>
      <c r="E852" s="1" t="n">
        <v>46284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7103-2025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45701</v>
      </c>
      <c r="E853" s="1" t="n">
        <v>46284</v>
      </c>
      <c r="F853" t="inlineStr">
        <is>
          <t>KRONOBERGS LÄN</t>
        </is>
      </c>
      <c r="G853" t="inlineStr">
        <is>
          <t>LJUNGBY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56818-2024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45628</v>
      </c>
      <c r="E854" s="1" t="n">
        <v>46284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46181-2024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45581</v>
      </c>
      <c r="E855" s="1" t="n">
        <v>46284</v>
      </c>
      <c r="F855" t="inlineStr">
        <is>
          <t>KRONOBERGS LÄN</t>
        </is>
      </c>
      <c r="G855" t="inlineStr">
        <is>
          <t>LJUNGBY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11506-2024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45372</v>
      </c>
      <c r="E856" s="1" t="n">
        <v>46284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34985-2026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46259</v>
      </c>
      <c r="E857" s="1" t="n">
        <v>46284</v>
      </c>
      <c r="F857" t="inlineStr">
        <is>
          <t>KRONOBERGS LÄN</t>
        </is>
      </c>
      <c r="G857" t="inlineStr">
        <is>
          <t>LJUNGBY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58214-2023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45250</v>
      </c>
      <c r="E858" s="1" t="n">
        <v>46284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8071-2026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46063</v>
      </c>
      <c r="E859" s="1" t="n">
        <v>46284</v>
      </c>
      <c r="F859" t="inlineStr">
        <is>
          <t>KRONOBERGS LÄN</t>
        </is>
      </c>
      <c r="G859" t="inlineStr">
        <is>
          <t>LJUNGBY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39730-2022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44819</v>
      </c>
      <c r="E860" s="1" t="n">
        <v>46284</v>
      </c>
      <c r="F860" t="inlineStr">
        <is>
          <t>KRONOBERGS LÄN</t>
        </is>
      </c>
      <c r="G860" t="inlineStr">
        <is>
          <t>LJUNGBY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36365-2023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45152</v>
      </c>
      <c r="E861" s="1" t="n">
        <v>46284</v>
      </c>
      <c r="F861" t="inlineStr">
        <is>
          <t>KRONOBERGS LÄN</t>
        </is>
      </c>
      <c r="G861" t="inlineStr">
        <is>
          <t>LJUNGBY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27630-2023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45097</v>
      </c>
      <c r="E862" s="1" t="n">
        <v>46284</v>
      </c>
      <c r="F862" t="inlineStr">
        <is>
          <t>KRONOBERGS LÄN</t>
        </is>
      </c>
      <c r="G862" t="inlineStr">
        <is>
          <t>LJUNGBY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33499-2023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45131</v>
      </c>
      <c r="E863" s="1" t="n">
        <v>46284</v>
      </c>
      <c r="F863" t="inlineStr">
        <is>
          <t>KRONOBERGS LÄN</t>
        </is>
      </c>
      <c r="G863" t="inlineStr">
        <is>
          <t>LJUNGBY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21406-2024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45441</v>
      </c>
      <c r="E864" s="1" t="n">
        <v>46284</v>
      </c>
      <c r="F864" t="inlineStr">
        <is>
          <t>KRONOBERGS LÄN</t>
        </is>
      </c>
      <c r="G864" t="inlineStr">
        <is>
          <t>LJUNGBY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26676-2026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46284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33500-2023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45131</v>
      </c>
      <c r="E866" s="1" t="n">
        <v>46284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53789-2024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45615</v>
      </c>
      <c r="E867" s="1" t="n">
        <v>46284</v>
      </c>
      <c r="F867" t="inlineStr">
        <is>
          <t>KRONOBERGS LÄN</t>
        </is>
      </c>
      <c r="G867" t="inlineStr">
        <is>
          <t>LJUNGBY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16910-2023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45033</v>
      </c>
      <c r="E868" s="1" t="n">
        <v>46284</v>
      </c>
      <c r="F868" t="inlineStr">
        <is>
          <t>KRONOBERGS LÄN</t>
        </is>
      </c>
      <c r="G868" t="inlineStr">
        <is>
          <t>LJUNGBY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1846-2024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45307</v>
      </c>
      <c r="E869" s="1" t="n">
        <v>46284</v>
      </c>
      <c r="F869" t="inlineStr">
        <is>
          <t>KRONOBERGS LÄN</t>
        </is>
      </c>
      <c r="G869" t="inlineStr">
        <is>
          <t>LJUNGBY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18933-2025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45764</v>
      </c>
      <c r="E870" s="1" t="n">
        <v>46284</v>
      </c>
      <c r="F870" t="inlineStr">
        <is>
          <t>KRONOBERGS LÄN</t>
        </is>
      </c>
      <c r="G870" t="inlineStr">
        <is>
          <t>LJUNGBY</t>
        </is>
      </c>
      <c r="I870" t="n">
        <v>0.3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55004-2022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44886</v>
      </c>
      <c r="E871" s="1" t="n">
        <v>46284</v>
      </c>
      <c r="F871" t="inlineStr">
        <is>
          <t>KRONOBERGS LÄN</t>
        </is>
      </c>
      <c r="G871" t="inlineStr">
        <is>
          <t>LJUNGBY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52843-2023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45226</v>
      </c>
      <c r="E872" s="1" t="n">
        <v>46284</v>
      </c>
      <c r="F872" t="inlineStr">
        <is>
          <t>KRONOBERGS LÄN</t>
        </is>
      </c>
      <c r="G872" t="inlineStr">
        <is>
          <t>LJUNGBY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1562-2024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45306</v>
      </c>
      <c r="E873" s="1" t="n">
        <v>46284</v>
      </c>
      <c r="F873" t="inlineStr">
        <is>
          <t>KRONOBERGS LÄN</t>
        </is>
      </c>
      <c r="G873" t="inlineStr">
        <is>
          <t>LJUNGBY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38976-2024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45548</v>
      </c>
      <c r="E874" s="1" t="n">
        <v>46284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9912-2023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44985</v>
      </c>
      <c r="E875" s="1" t="n">
        <v>46284</v>
      </c>
      <c r="F875" t="inlineStr">
        <is>
          <t>KRONOBERGS LÄN</t>
        </is>
      </c>
      <c r="G875" t="inlineStr">
        <is>
          <t>LJUNGBY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9919-2023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44985</v>
      </c>
      <c r="E876" s="1" t="n">
        <v>46284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11893-2023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44995</v>
      </c>
      <c r="E877" s="1" t="n">
        <v>46284</v>
      </c>
      <c r="F877" t="inlineStr">
        <is>
          <t>KRONOBERGS LÄN</t>
        </is>
      </c>
      <c r="G877" t="inlineStr">
        <is>
          <t>LJUNGBY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42270-2024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45562</v>
      </c>
      <c r="E878" s="1" t="n">
        <v>46284</v>
      </c>
      <c r="F878" t="inlineStr">
        <is>
          <t>KRONOBERGS LÄN</t>
        </is>
      </c>
      <c r="G878" t="inlineStr">
        <is>
          <t>LJUNGBY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48930-2024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45594</v>
      </c>
      <c r="E879" s="1" t="n">
        <v>46284</v>
      </c>
      <c r="F879" t="inlineStr">
        <is>
          <t>KRONOBERGS LÄN</t>
        </is>
      </c>
      <c r="G879" t="inlineStr">
        <is>
          <t>LJUNGBY</t>
        </is>
      </c>
      <c r="I879" t="n">
        <v>0.3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35639-2026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46265</v>
      </c>
      <c r="E880" s="1" t="n">
        <v>46284</v>
      </c>
      <c r="F880" t="inlineStr">
        <is>
          <t>KRONOBERGS LÄN</t>
        </is>
      </c>
      <c r="G880" t="inlineStr">
        <is>
          <t>LJUNGBY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40675-2023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45170</v>
      </c>
      <c r="E881" s="1" t="n">
        <v>46284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35932-2026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46266</v>
      </c>
      <c r="E882" s="1" t="n">
        <v>46284</v>
      </c>
      <c r="F882" t="inlineStr">
        <is>
          <t>KRONOBERGS LÄN</t>
        </is>
      </c>
      <c r="G882" t="inlineStr">
        <is>
          <t>LJUNGBY</t>
        </is>
      </c>
      <c r="H882" t="inlineStr">
        <is>
          <t>Kyrkan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62994-2023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45272</v>
      </c>
      <c r="E883" s="1" t="n">
        <v>46284</v>
      </c>
      <c r="F883" t="inlineStr">
        <is>
          <t>KRONOBERGS LÄN</t>
        </is>
      </c>
      <c r="G883" t="inlineStr">
        <is>
          <t>LJUNGBY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62858-2023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45272</v>
      </c>
      <c r="E884" s="1" t="n">
        <v>46284</v>
      </c>
      <c r="F884" t="inlineStr">
        <is>
          <t>KRONOBERGS LÄN</t>
        </is>
      </c>
      <c r="G884" t="inlineStr">
        <is>
          <t>LJUNGBY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62504-2022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46284</v>
      </c>
      <c r="F885" t="inlineStr">
        <is>
          <t>KRONOBERGS LÄN</t>
        </is>
      </c>
      <c r="G885" t="inlineStr">
        <is>
          <t>LJUNGBY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56774-2024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45628</v>
      </c>
      <c r="E886" s="1" t="n">
        <v>46284</v>
      </c>
      <c r="F886" t="inlineStr">
        <is>
          <t>KRONOBERGS LÄN</t>
        </is>
      </c>
      <c r="G886" t="inlineStr">
        <is>
          <t>LJUNGBY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14943-2022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44657</v>
      </c>
      <c r="E887" s="1" t="n">
        <v>46284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31592-2026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46224</v>
      </c>
      <c r="E888" s="1" t="n">
        <v>46284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12406-2023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44999</v>
      </c>
      <c r="E889" s="1" t="n">
        <v>46284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36252-2026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46268</v>
      </c>
      <c r="E890" s="1" t="n">
        <v>46284</v>
      </c>
      <c r="F890" t="inlineStr">
        <is>
          <t>KRONOBERGS LÄN</t>
        </is>
      </c>
      <c r="G890" t="inlineStr">
        <is>
          <t>LJUNGBY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59544-2024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45637</v>
      </c>
      <c r="E891" s="1" t="n">
        <v>46284</v>
      </c>
      <c r="F891" t="inlineStr">
        <is>
          <t>KRONOBERGS LÄN</t>
        </is>
      </c>
      <c r="G891" t="inlineStr">
        <is>
          <t>LJUNGBY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39091-2023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45164</v>
      </c>
      <c r="E892" s="1" t="n">
        <v>46284</v>
      </c>
      <c r="F892" t="inlineStr">
        <is>
          <t>KRONOBERGS LÄN</t>
        </is>
      </c>
      <c r="G892" t="inlineStr">
        <is>
          <t>LJUNGBY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57206-2024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45629</v>
      </c>
      <c r="E893" s="1" t="n">
        <v>46284</v>
      </c>
      <c r="F893" t="inlineStr">
        <is>
          <t>KRONOBERGS LÄN</t>
        </is>
      </c>
      <c r="G893" t="inlineStr">
        <is>
          <t>LJUNGBY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37077-2026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46284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36373-2024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45534</v>
      </c>
      <c r="E895" s="1" t="n">
        <v>46284</v>
      </c>
      <c r="F895" t="inlineStr">
        <is>
          <t>KRONOBERGS LÄN</t>
        </is>
      </c>
      <c r="G895" t="inlineStr">
        <is>
          <t>LJUNGBY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62948-2025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46009</v>
      </c>
      <c r="E896" s="1" t="n">
        <v>46284</v>
      </c>
      <c r="F896" t="inlineStr">
        <is>
          <t>KRONOBERGS LÄN</t>
        </is>
      </c>
      <c r="G896" t="inlineStr">
        <is>
          <t>LJUNGBY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8245-2025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45708</v>
      </c>
      <c r="E897" s="1" t="n">
        <v>46284</v>
      </c>
      <c r="F897" t="inlineStr">
        <is>
          <t>KRONOBERGS LÄN</t>
        </is>
      </c>
      <c r="G897" t="inlineStr">
        <is>
          <t>LJUNGBY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5368-2023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44959</v>
      </c>
      <c r="E898" s="1" t="n">
        <v>46284</v>
      </c>
      <c r="F898" t="inlineStr">
        <is>
          <t>KRONOBERGS LÄN</t>
        </is>
      </c>
      <c r="G898" t="inlineStr">
        <is>
          <t>LJUNGBY</t>
        </is>
      </c>
      <c r="H898" t="inlineStr">
        <is>
          <t>Sveaskog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21809-2025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45783</v>
      </c>
      <c r="E899" s="1" t="n">
        <v>46284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21805-2025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45783</v>
      </c>
      <c r="E900" s="1" t="n">
        <v>46284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21819-2025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45783</v>
      </c>
      <c r="E901" s="1" t="n">
        <v>46284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15673-2023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45021</v>
      </c>
      <c r="E902" s="1" t="n">
        <v>46284</v>
      </c>
      <c r="F902" t="inlineStr">
        <is>
          <t>KRONOBERGS LÄN</t>
        </is>
      </c>
      <c r="G902" t="inlineStr">
        <is>
          <t>LJUNGBY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21807-2025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45783</v>
      </c>
      <c r="E903" s="1" t="n">
        <v>46284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21813-2025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45783</v>
      </c>
      <c r="E904" s="1" t="n">
        <v>46284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21816-2025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45783</v>
      </c>
      <c r="E905" s="1" t="n">
        <v>46284</v>
      </c>
      <c r="F905" t="inlineStr">
        <is>
          <t>KRONOBERGS LÄN</t>
        </is>
      </c>
      <c r="G905" t="inlineStr">
        <is>
          <t>LJUNGBY</t>
        </is>
      </c>
      <c r="I905" t="n">
        <v>0.3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37041-2026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46273</v>
      </c>
      <c r="E906" s="1" t="n">
        <v>46284</v>
      </c>
      <c r="F906" t="inlineStr">
        <is>
          <t>KRONOBERGS LÄN</t>
        </is>
      </c>
      <c r="G906" t="inlineStr">
        <is>
          <t>LJUNGBY</t>
        </is>
      </c>
      <c r="I906" t="n">
        <v>4.3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8251-2025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45708</v>
      </c>
      <c r="E907" s="1" t="n">
        <v>46284</v>
      </c>
      <c r="F907" t="inlineStr">
        <is>
          <t>KRONOBERGS LÄN</t>
        </is>
      </c>
      <c r="G907" t="inlineStr">
        <is>
          <t>LJUNGBY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37290-2026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46274</v>
      </c>
      <c r="E908" s="1" t="n">
        <v>46284</v>
      </c>
      <c r="F908" t="inlineStr">
        <is>
          <t>KRONOBERGS LÄN</t>
        </is>
      </c>
      <c r="G908" t="inlineStr">
        <is>
          <t>LJUNGBY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37292-2026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46274</v>
      </c>
      <c r="E909" s="1" t="n">
        <v>46284</v>
      </c>
      <c r="F909" t="inlineStr">
        <is>
          <t>KRONOBERGS LÄN</t>
        </is>
      </c>
      <c r="G909" t="inlineStr">
        <is>
          <t>LJUNGBY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37670-2026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46277</v>
      </c>
      <c r="E910" s="1" t="n">
        <v>46284</v>
      </c>
      <c r="F910" t="inlineStr">
        <is>
          <t>KRONOBERGS LÄN</t>
        </is>
      </c>
      <c r="G910" t="inlineStr">
        <is>
          <t>LJUNGBY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56799-2024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45628</v>
      </c>
      <c r="E911" s="1" t="n">
        <v>46284</v>
      </c>
      <c r="F911" t="inlineStr">
        <is>
          <t>KRONOBERGS LÄN</t>
        </is>
      </c>
      <c r="G911" t="inlineStr">
        <is>
          <t>LJUNGBY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38148-2023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45161</v>
      </c>
      <c r="E912" s="1" t="n">
        <v>46284</v>
      </c>
      <c r="F912" t="inlineStr">
        <is>
          <t>KRONOBERGS LÄN</t>
        </is>
      </c>
      <c r="G912" t="inlineStr">
        <is>
          <t>LJUNGBY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13020-2025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45734</v>
      </c>
      <c r="E913" s="1" t="n">
        <v>46284</v>
      </c>
      <c r="F913" t="inlineStr">
        <is>
          <t>KRONOBERGS LÄN</t>
        </is>
      </c>
      <c r="G913" t="inlineStr">
        <is>
          <t>LJUNGBY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11356-2024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45372</v>
      </c>
      <c r="E914" s="1" t="n">
        <v>46284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37780-2026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46279</v>
      </c>
      <c r="E915" s="1" t="n">
        <v>46284</v>
      </c>
      <c r="F915" t="inlineStr">
        <is>
          <t>KRONOBERGS LÄN</t>
        </is>
      </c>
      <c r="G915" t="inlineStr">
        <is>
          <t>LJUNGBY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39359-2023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45166</v>
      </c>
      <c r="E916" s="1" t="n">
        <v>46284</v>
      </c>
      <c r="F916" t="inlineStr">
        <is>
          <t>KRONOBERGS LÄN</t>
        </is>
      </c>
      <c r="G916" t="inlineStr">
        <is>
          <t>LJUNGBY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17145-2025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45756</v>
      </c>
      <c r="E917" s="1" t="n">
        <v>46284</v>
      </c>
      <c r="F917" t="inlineStr">
        <is>
          <t>KRONOBERGS LÄN</t>
        </is>
      </c>
      <c r="G917" t="inlineStr">
        <is>
          <t>LJUNGBY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32044-2024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45510</v>
      </c>
      <c r="E918" s="1" t="n">
        <v>46284</v>
      </c>
      <c r="F918" t="inlineStr">
        <is>
          <t>KRONOBERGS LÄN</t>
        </is>
      </c>
      <c r="G918" t="inlineStr">
        <is>
          <t>LJUNGBY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3782-2025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45681</v>
      </c>
      <c r="E919" s="1" t="n">
        <v>46284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32042-2024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45510</v>
      </c>
      <c r="E920" s="1" t="n">
        <v>46284</v>
      </c>
      <c r="F920" t="inlineStr">
        <is>
          <t>KRONOBERGS LÄN</t>
        </is>
      </c>
      <c r="G920" t="inlineStr">
        <is>
          <t>LJUNGBY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46284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23398-2025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45792</v>
      </c>
      <c r="E922" s="1" t="n">
        <v>46284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23808-2025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45793</v>
      </c>
      <c r="E923" s="1" t="n">
        <v>46284</v>
      </c>
      <c r="F923" t="inlineStr">
        <is>
          <t>KRONOBERGS LÄN</t>
        </is>
      </c>
      <c r="G923" t="inlineStr">
        <is>
          <t>LJUNGBY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49609-2024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45596</v>
      </c>
      <c r="E924" s="1" t="n">
        <v>46284</v>
      </c>
      <c r="F924" t="inlineStr">
        <is>
          <t>KRONOBERGS LÄN</t>
        </is>
      </c>
      <c r="G924" t="inlineStr">
        <is>
          <t>LJUNGBY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44927</v>
      </c>
      <c r="E925" s="1" t="n">
        <v>46284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24089-2025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45796</v>
      </c>
      <c r="E926" s="1" t="n">
        <v>46284</v>
      </c>
      <c r="F926" t="inlineStr">
        <is>
          <t>KRONOBERGS LÄN</t>
        </is>
      </c>
      <c r="G926" t="inlineStr">
        <is>
          <t>LJUNGBY</t>
        </is>
      </c>
      <c r="H926" t="inlineStr">
        <is>
          <t>Sveaskog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24108-2025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45796</v>
      </c>
      <c r="E927" s="1" t="n">
        <v>46284</v>
      </c>
      <c r="F927" t="inlineStr">
        <is>
          <t>KRONOBERGS LÄN</t>
        </is>
      </c>
      <c r="G927" t="inlineStr">
        <is>
          <t>LJUNGBY</t>
        </is>
      </c>
      <c r="H927" t="inlineStr">
        <is>
          <t>Sveaskog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24084-2025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45796</v>
      </c>
      <c r="E928" s="1" t="n">
        <v>46284</v>
      </c>
      <c r="F928" t="inlineStr">
        <is>
          <t>KRONOBERGS LÄN</t>
        </is>
      </c>
      <c r="G928" t="inlineStr">
        <is>
          <t>LJUNGBY</t>
        </is>
      </c>
      <c r="H928" t="inlineStr">
        <is>
          <t>Sveaskog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32555-2026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46239</v>
      </c>
      <c r="E929" s="1" t="n">
        <v>46284</v>
      </c>
      <c r="F929" t="inlineStr">
        <is>
          <t>KRONOBERGS LÄN</t>
        </is>
      </c>
      <c r="G929" t="inlineStr">
        <is>
          <t>LJUNGBY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32770-2026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46241</v>
      </c>
      <c r="E930" s="1" t="n">
        <v>46284</v>
      </c>
      <c r="F930" t="inlineStr">
        <is>
          <t>KRONOBERGS LÄN</t>
        </is>
      </c>
      <c r="G930" t="inlineStr">
        <is>
          <t>LJUNGBY</t>
        </is>
      </c>
      <c r="H930" t="inlineStr">
        <is>
          <t>Kyrkan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49541-2024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45596</v>
      </c>
      <c r="E931" s="1" t="n">
        <v>46284</v>
      </c>
      <c r="F931" t="inlineStr">
        <is>
          <t>KRONOBERGS LÄN</t>
        </is>
      </c>
      <c r="G931" t="inlineStr">
        <is>
          <t>LJUNGBY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24097-2025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45796</v>
      </c>
      <c r="E932" s="1" t="n">
        <v>46284</v>
      </c>
      <c r="F932" t="inlineStr">
        <is>
          <t>KRONOBERGS LÄN</t>
        </is>
      </c>
      <c r="G932" t="inlineStr">
        <is>
          <t>LJUNGBY</t>
        </is>
      </c>
      <c r="H932" t="inlineStr">
        <is>
          <t>Sveaskog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32777-2026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46240</v>
      </c>
      <c r="E933" s="1" t="n">
        <v>46284</v>
      </c>
      <c r="F933" t="inlineStr">
        <is>
          <t>KRONOBERGS LÄN</t>
        </is>
      </c>
      <c r="G933" t="inlineStr">
        <is>
          <t>LJUNGBY</t>
        </is>
      </c>
      <c r="H933" t="inlineStr">
        <is>
          <t>Kyrkan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42232-2024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45562</v>
      </c>
      <c r="E934" s="1" t="n">
        <v>46284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37318-2023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45156</v>
      </c>
      <c r="E935" s="1" t="n">
        <v>46284</v>
      </c>
      <c r="F935" t="inlineStr">
        <is>
          <t>KRONOBERGS LÄN</t>
        </is>
      </c>
      <c r="G935" t="inlineStr">
        <is>
          <t>LJUNGBY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59366-2023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45253</v>
      </c>
      <c r="E936" s="1" t="n">
        <v>46284</v>
      </c>
      <c r="F936" t="inlineStr">
        <is>
          <t>KRONOBERGS LÄN</t>
        </is>
      </c>
      <c r="G936" t="inlineStr">
        <is>
          <t>LJUNGBY</t>
        </is>
      </c>
      <c r="H936" t="inlineStr">
        <is>
          <t>Kyrkan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61141-2024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46284</v>
      </c>
      <c r="F937" t="inlineStr">
        <is>
          <t>KRONOBERGS LÄN</t>
        </is>
      </c>
      <c r="G937" t="inlineStr">
        <is>
          <t>LJUNGBY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26926-2025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45811</v>
      </c>
      <c r="E938" s="1" t="n">
        <v>46284</v>
      </c>
      <c r="F938" t="inlineStr">
        <is>
          <t>KRONOBERGS LÄN</t>
        </is>
      </c>
      <c r="G938" t="inlineStr">
        <is>
          <t>LJUNGBY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26928-2025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45811</v>
      </c>
      <c r="E939" s="1" t="n">
        <v>46284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26936-2025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45811</v>
      </c>
      <c r="E940" s="1" t="n">
        <v>46284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11302-2024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45371</v>
      </c>
      <c r="E941" s="1" t="n">
        <v>46284</v>
      </c>
      <c r="F941" t="inlineStr">
        <is>
          <t>KRONOBERGS LÄN</t>
        </is>
      </c>
      <c r="G941" t="inlineStr">
        <is>
          <t>LJUNGBY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27318-2025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45812</v>
      </c>
      <c r="E942" s="1" t="n">
        <v>46284</v>
      </c>
      <c r="F942" t="inlineStr">
        <is>
          <t>KRONOBERGS LÄN</t>
        </is>
      </c>
      <c r="G942" t="inlineStr">
        <is>
          <t>LJUNGBY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4437-2025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45686</v>
      </c>
      <c r="E943" s="1" t="n">
        <v>46284</v>
      </c>
      <c r="F943" t="inlineStr">
        <is>
          <t>KRONOBERGS LÄN</t>
        </is>
      </c>
      <c r="G943" t="inlineStr">
        <is>
          <t>LJUNGBY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27972-2025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45817</v>
      </c>
      <c r="E944" s="1" t="n">
        <v>46284</v>
      </c>
      <c r="F944" t="inlineStr">
        <is>
          <t>KRONOBERGS LÄN</t>
        </is>
      </c>
      <c r="G944" t="inlineStr">
        <is>
          <t>LJUNGBY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18403-2025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45762</v>
      </c>
      <c r="E945" s="1" t="n">
        <v>46284</v>
      </c>
      <c r="F945" t="inlineStr">
        <is>
          <t>KRONOBERGS LÄN</t>
        </is>
      </c>
      <c r="G945" t="inlineStr">
        <is>
          <t>LJUNGBY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33176-2024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45518</v>
      </c>
      <c r="E946" s="1" t="n">
        <v>46284</v>
      </c>
      <c r="F946" t="inlineStr">
        <is>
          <t>KRONOBERGS LÄN</t>
        </is>
      </c>
      <c r="G946" t="inlineStr">
        <is>
          <t>LJUNGBY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28334-2025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45818</v>
      </c>
      <c r="E947" s="1" t="n">
        <v>46284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54474-2024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46284</v>
      </c>
      <c r="F948" t="inlineStr">
        <is>
          <t>KRONOBERGS LÄN</t>
        </is>
      </c>
      <c r="G948" t="inlineStr">
        <is>
          <t>LJUNGBY</t>
        </is>
      </c>
      <c r="I948" t="n">
        <v>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29785-2025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45825</v>
      </c>
      <c r="E949" s="1" t="n">
        <v>46284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29356-2025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45824</v>
      </c>
      <c r="E950" s="1" t="n">
        <v>46284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23857-2025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45793</v>
      </c>
      <c r="E951" s="1" t="n">
        <v>46284</v>
      </c>
      <c r="F951" t="inlineStr">
        <is>
          <t>KRONOBERGS LÄN</t>
        </is>
      </c>
      <c r="G951" t="inlineStr">
        <is>
          <t>LJUNGBY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29915-2025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45826</v>
      </c>
      <c r="E952" s="1" t="n">
        <v>46284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30538-2025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45831</v>
      </c>
      <c r="E953" s="1" t="n">
        <v>46284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30529-2025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46284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30549-2025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45831</v>
      </c>
      <c r="E955" s="1" t="n">
        <v>46284</v>
      </c>
      <c r="F955" t="inlineStr">
        <is>
          <t>KRONOBERGS LÄN</t>
        </is>
      </c>
      <c r="G955" t="inlineStr">
        <is>
          <t>LJUNGBY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30521-2025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46284</v>
      </c>
      <c r="F956" t="inlineStr">
        <is>
          <t>KRONOBERGS LÄN</t>
        </is>
      </c>
      <c r="G956" t="inlineStr">
        <is>
          <t>LJUNGBY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30857-2025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46284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30523-2025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46284</v>
      </c>
      <c r="F958" t="inlineStr">
        <is>
          <t>KRONOBERGS LÄN</t>
        </is>
      </c>
      <c r="G958" t="inlineStr">
        <is>
          <t>LJUNGBY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31602-2025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45833</v>
      </c>
      <c r="E959" s="1" t="n">
        <v>46284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32014-2025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45835</v>
      </c>
      <c r="E960" s="1" t="n">
        <v>46284</v>
      </c>
      <c r="F960" t="inlineStr">
        <is>
          <t>KRONOBERGS LÄN</t>
        </is>
      </c>
      <c r="G960" t="inlineStr">
        <is>
          <t>LJUNGBY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32011-2025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45835</v>
      </c>
      <c r="E961" s="1" t="n">
        <v>46284</v>
      </c>
      <c r="F961" t="inlineStr">
        <is>
          <t>KRONOBERGS LÄN</t>
        </is>
      </c>
      <c r="G961" t="inlineStr">
        <is>
          <t>LJUNGBY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32390-2025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45837</v>
      </c>
      <c r="E962" s="1" t="n">
        <v>46284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33151-2025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45840</v>
      </c>
      <c r="E963" s="1" t="n">
        <v>46284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33152-2025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45840</v>
      </c>
      <c r="E964" s="1" t="n">
        <v>46284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33811-2025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45842</v>
      </c>
      <c r="E965" s="1" t="n">
        <v>46284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11071-2025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45723</v>
      </c>
      <c r="E966" s="1" t="n">
        <v>46284</v>
      </c>
      <c r="F966" t="inlineStr">
        <is>
          <t>KRONOBERGS LÄN</t>
        </is>
      </c>
      <c r="G966" t="inlineStr">
        <is>
          <t>LJUNGBY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20365-2025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45775</v>
      </c>
      <c r="E967" s="1" t="n">
        <v>46284</v>
      </c>
      <c r="F967" t="inlineStr">
        <is>
          <t>KRONOBERGS LÄN</t>
        </is>
      </c>
      <c r="G967" t="inlineStr">
        <is>
          <t>LJUNGBY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12499-2025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45730</v>
      </c>
      <c r="E968" s="1" t="n">
        <v>46284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34742-2025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45848</v>
      </c>
      <c r="E969" s="1" t="n">
        <v>46284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34738-2025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45848</v>
      </c>
      <c r="E970" s="1" t="n">
        <v>46284</v>
      </c>
      <c r="F970" t="inlineStr">
        <is>
          <t>KRONOBERGS LÄN</t>
        </is>
      </c>
      <c r="G970" t="inlineStr">
        <is>
          <t>LJUNGBY</t>
        </is>
      </c>
      <c r="I970" t="n">
        <v>4.7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26979-2025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45811</v>
      </c>
      <c r="E971" s="1" t="n">
        <v>46284</v>
      </c>
      <c r="F971" t="inlineStr">
        <is>
          <t>KRONOBERGS LÄN</t>
        </is>
      </c>
      <c r="G971" t="inlineStr">
        <is>
          <t>LJUNGBY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35038-2025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45852</v>
      </c>
      <c r="E972" s="1" t="n">
        <v>46284</v>
      </c>
      <c r="F972" t="inlineStr">
        <is>
          <t>KRONOBERGS LÄN</t>
        </is>
      </c>
      <c r="G972" t="inlineStr">
        <is>
          <t>LJUNGBY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1265-2025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45667</v>
      </c>
      <c r="E973" s="1" t="n">
        <v>46284</v>
      </c>
      <c r="F973" t="inlineStr">
        <is>
          <t>KRONOBERGS LÄN</t>
        </is>
      </c>
      <c r="G973" t="inlineStr">
        <is>
          <t>LJUNGBY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30018-2023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45109</v>
      </c>
      <c r="E974" s="1" t="n">
        <v>46284</v>
      </c>
      <c r="F974" t="inlineStr">
        <is>
          <t>KRONOBERGS LÄN</t>
        </is>
      </c>
      <c r="G974" t="inlineStr">
        <is>
          <t>LJUNGBY</t>
        </is>
      </c>
      <c r="I974" t="n">
        <v>13.6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35317-2024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45530</v>
      </c>
      <c r="E975" s="1" t="n">
        <v>46284</v>
      </c>
      <c r="F975" t="inlineStr">
        <is>
          <t>KRONOBERGS LÄN</t>
        </is>
      </c>
      <c r="G975" t="inlineStr">
        <is>
          <t>LJUNGBY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27019-2025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45811</v>
      </c>
      <c r="E976" s="1" t="n">
        <v>46284</v>
      </c>
      <c r="F976" t="inlineStr">
        <is>
          <t>KRONOBERGS LÄN</t>
        </is>
      </c>
      <c r="G976" t="inlineStr">
        <is>
          <t>LJUNGBY</t>
        </is>
      </c>
      <c r="I976" t="n">
        <v>5.4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35790-2025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45860</v>
      </c>
      <c r="E977" s="1" t="n">
        <v>46284</v>
      </c>
      <c r="F977" t="inlineStr">
        <is>
          <t>KRONOBERGS LÄN</t>
        </is>
      </c>
      <c r="G977" t="inlineStr">
        <is>
          <t>LJUNGBY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63432-2023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45274</v>
      </c>
      <c r="E978" s="1" t="n">
        <v>46284</v>
      </c>
      <c r="F978" t="inlineStr">
        <is>
          <t>KRONOBERGS LÄN</t>
        </is>
      </c>
      <c r="G978" t="inlineStr">
        <is>
          <t>LJUNGBY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14608-2024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45396</v>
      </c>
      <c r="E979" s="1" t="n">
        <v>46284</v>
      </c>
      <c r="F979" t="inlineStr">
        <is>
          <t>KRONOBERGS LÄN</t>
        </is>
      </c>
      <c r="G979" t="inlineStr">
        <is>
          <t>LJUNGBY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35170-2023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45145</v>
      </c>
      <c r="E980" s="1" t="n">
        <v>46284</v>
      </c>
      <c r="F980" t="inlineStr">
        <is>
          <t>KRONOBERGS LÄN</t>
        </is>
      </c>
      <c r="G980" t="inlineStr">
        <is>
          <t>LJUNGBY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54177-2022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44881</v>
      </c>
      <c r="E981" s="1" t="n">
        <v>46284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36515-2025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45869</v>
      </c>
      <c r="E982" s="1" t="n">
        <v>46284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7008-2025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45701</v>
      </c>
      <c r="E983" s="1" t="n">
        <v>46284</v>
      </c>
      <c r="F983" t="inlineStr">
        <is>
          <t>KRONOBERGS LÄN</t>
        </is>
      </c>
      <c r="G983" t="inlineStr">
        <is>
          <t>LJUNGBY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34475-2025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45847</v>
      </c>
      <c r="E984" s="1" t="n">
        <v>46284</v>
      </c>
      <c r="F984" t="inlineStr">
        <is>
          <t>KRONOBERGS LÄN</t>
        </is>
      </c>
      <c r="G984" t="inlineStr">
        <is>
          <t>LJUNGBY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13998-2025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45739</v>
      </c>
      <c r="E985" s="1" t="n">
        <v>46284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21788-2025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46284</v>
      </c>
      <c r="F986" t="inlineStr">
        <is>
          <t>KRONOBERGS LÄN</t>
        </is>
      </c>
      <c r="G986" t="inlineStr">
        <is>
          <t>LJUNGBY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13388-2023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45005</v>
      </c>
      <c r="E987" s="1" t="n">
        <v>46284</v>
      </c>
      <c r="F987" t="inlineStr">
        <is>
          <t>KRONOBERGS LÄN</t>
        </is>
      </c>
      <c r="G987" t="inlineStr">
        <is>
          <t>LJUNGBY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61893-2022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44917</v>
      </c>
      <c r="E988" s="1" t="n">
        <v>46284</v>
      </c>
      <c r="F988" t="inlineStr">
        <is>
          <t>KRONOBERGS LÄN</t>
        </is>
      </c>
      <c r="G988" t="inlineStr">
        <is>
          <t>LJUNGBY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45701</v>
      </c>
      <c r="E989" s="1" t="n">
        <v>46284</v>
      </c>
      <c r="F989" t="inlineStr">
        <is>
          <t>KRONOBERGS LÄN</t>
        </is>
      </c>
      <c r="G989" t="inlineStr">
        <is>
          <t>LJUNGBY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18567-2024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45425</v>
      </c>
      <c r="E990" s="1" t="n">
        <v>46284</v>
      </c>
      <c r="F990" t="inlineStr">
        <is>
          <t>KRONOBERGS LÄN</t>
        </is>
      </c>
      <c r="G990" t="inlineStr">
        <is>
          <t>LJUNGBY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28350-2023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45099</v>
      </c>
      <c r="E991" s="1" t="n">
        <v>46284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10085-2022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44621</v>
      </c>
      <c r="E992" s="1" t="n">
        <v>46284</v>
      </c>
      <c r="F992" t="inlineStr">
        <is>
          <t>KRONOBERGS LÄN</t>
        </is>
      </c>
      <c r="G992" t="inlineStr">
        <is>
          <t>LJUNGBY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25152-2023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45079</v>
      </c>
      <c r="E993" s="1" t="n">
        <v>46284</v>
      </c>
      <c r="F993" t="inlineStr">
        <is>
          <t>KRONOBERGS LÄN</t>
        </is>
      </c>
      <c r="G993" t="inlineStr">
        <is>
          <t>LJUNGBY</t>
        </is>
      </c>
      <c r="I993" t="n">
        <v>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70888-2021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44538</v>
      </c>
      <c r="E994" s="1" t="n">
        <v>46284</v>
      </c>
      <c r="F994" t="inlineStr">
        <is>
          <t>KRONOBERGS LÄN</t>
        </is>
      </c>
      <c r="G994" t="inlineStr">
        <is>
          <t>LJUNGBY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14561-2024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45394</v>
      </c>
      <c r="E995" s="1" t="n">
        <v>46284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36513-2025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45869</v>
      </c>
      <c r="E996" s="1" t="n">
        <v>46284</v>
      </c>
      <c r="F996" t="inlineStr">
        <is>
          <t>KRONOBERGS LÄN</t>
        </is>
      </c>
      <c r="G996" t="inlineStr">
        <is>
          <t>LJUNGBY</t>
        </is>
      </c>
      <c r="H996" t="inlineStr">
        <is>
          <t>Kyrkan</t>
        </is>
      </c>
      <c r="I996" t="n">
        <v>7.2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62717-2023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45271</v>
      </c>
      <c r="E997" s="1" t="n">
        <v>46284</v>
      </c>
      <c r="F997" t="inlineStr">
        <is>
          <t>KRONOBERGS LÄN</t>
        </is>
      </c>
      <c r="G997" t="inlineStr">
        <is>
          <t>LJUNGBY</t>
        </is>
      </c>
      <c r="I997" t="n">
        <v>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46150-2022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44847</v>
      </c>
      <c r="E998" s="1" t="n">
        <v>46284</v>
      </c>
      <c r="F998" t="inlineStr">
        <is>
          <t>KRONOBERGS LÄN</t>
        </is>
      </c>
      <c r="G998" t="inlineStr">
        <is>
          <t>LJUNGBY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16128-2023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45026</v>
      </c>
      <c r="E999" s="1" t="n">
        <v>46284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1064-2024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45301</v>
      </c>
      <c r="E1000" s="1" t="n">
        <v>46284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61666-2024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45647</v>
      </c>
      <c r="E1001" s="1" t="n">
        <v>46284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54182-2022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44881</v>
      </c>
      <c r="E1002" s="1" t="n">
        <v>46284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49552-2023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45211</v>
      </c>
      <c r="E1003" s="1" t="n">
        <v>46284</v>
      </c>
      <c r="F1003" t="inlineStr">
        <is>
          <t>KRONOBERGS LÄN</t>
        </is>
      </c>
      <c r="G1003" t="inlineStr">
        <is>
          <t>LJUNGBY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57875-2023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45247</v>
      </c>
      <c r="E1004" s="1" t="n">
        <v>46284</v>
      </c>
      <c r="F1004" t="inlineStr">
        <is>
          <t>KRONOBERGS LÄN</t>
        </is>
      </c>
      <c r="G1004" t="inlineStr">
        <is>
          <t>LJUNGBY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51274-2021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44461</v>
      </c>
      <c r="E1005" s="1" t="n">
        <v>46284</v>
      </c>
      <c r="F1005" t="inlineStr">
        <is>
          <t>KRONOBERGS LÄN</t>
        </is>
      </c>
      <c r="G1005" t="inlineStr">
        <is>
          <t>LJUNGBY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51276-2021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44461</v>
      </c>
      <c r="E1006" s="1" t="n">
        <v>46284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35167-2023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45145</v>
      </c>
      <c r="E1007" s="1" t="n">
        <v>46284</v>
      </c>
      <c r="F1007" t="inlineStr">
        <is>
          <t>KRONOBERGS LÄN</t>
        </is>
      </c>
      <c r="G1007" t="inlineStr">
        <is>
          <t>LJUNGBY</t>
        </is>
      </c>
      <c r="I1007" t="n">
        <v>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14402-2024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45394</v>
      </c>
      <c r="E1008" s="1" t="n">
        <v>46284</v>
      </c>
      <c r="F1008" t="inlineStr">
        <is>
          <t>KRONOBERGS LÄN</t>
        </is>
      </c>
      <c r="G1008" t="inlineStr">
        <is>
          <t>LJUNGBY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22800-2022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44715</v>
      </c>
      <c r="E1009" s="1" t="n">
        <v>46284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1061-2024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45301</v>
      </c>
      <c r="E1010" s="1" t="n">
        <v>46284</v>
      </c>
      <c r="F1010" t="inlineStr">
        <is>
          <t>KRONOBERGS LÄN</t>
        </is>
      </c>
      <c r="G1010" t="inlineStr">
        <is>
          <t>LJUNGBY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28991-2024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45481</v>
      </c>
      <c r="E1011" s="1" t="n">
        <v>46284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65062-2021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44515</v>
      </c>
      <c r="E1012" s="1" t="n">
        <v>46284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65066-2021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44515</v>
      </c>
      <c r="E1013" s="1" t="n">
        <v>46284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30561-2025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45831</v>
      </c>
      <c r="E1014" s="1" t="n">
        <v>46284</v>
      </c>
      <c r="F1014" t="inlineStr">
        <is>
          <t>KRONOBERGS LÄN</t>
        </is>
      </c>
      <c r="G1014" t="inlineStr">
        <is>
          <t>LJUNGBY</t>
        </is>
      </c>
      <c r="I1014" t="n">
        <v>7.1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51058-2023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45211</v>
      </c>
      <c r="E1015" s="1" t="n">
        <v>46284</v>
      </c>
      <c r="F1015" t="inlineStr">
        <is>
          <t>KRONOBERGS LÄN</t>
        </is>
      </c>
      <c r="G1015" t="inlineStr">
        <is>
          <t>LJUNGBY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16274-2025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45750</v>
      </c>
      <c r="E1016" s="1" t="n">
        <v>46284</v>
      </c>
      <c r="F1016" t="inlineStr">
        <is>
          <t>KRONOBERGS LÄN</t>
        </is>
      </c>
      <c r="G1016" t="inlineStr">
        <is>
          <t>LJUNGBY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36460-2025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45869</v>
      </c>
      <c r="E1017" s="1" t="n">
        <v>46284</v>
      </c>
      <c r="F1017" t="inlineStr">
        <is>
          <t>KRONOBERGS LÄN</t>
        </is>
      </c>
      <c r="G1017" t="inlineStr">
        <is>
          <t>LJUNGBY</t>
        </is>
      </c>
      <c r="H1017" t="inlineStr">
        <is>
          <t>Kyrkan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29408-2025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45824</v>
      </c>
      <c r="E1018" s="1" t="n">
        <v>46284</v>
      </c>
      <c r="F1018" t="inlineStr">
        <is>
          <t>KRONOBERGS LÄN</t>
        </is>
      </c>
      <c r="G1018" t="inlineStr">
        <is>
          <t>LJUNGBY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1062-2024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45301</v>
      </c>
      <c r="E1019" s="1" t="n">
        <v>46284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49179-2022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44860</v>
      </c>
      <c r="E1020" s="1" t="n">
        <v>46284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45676</v>
      </c>
      <c r="E1021" s="1" t="n">
        <v>46284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37087-2025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45875</v>
      </c>
      <c r="E1022" s="1" t="n">
        <v>46284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37187-2025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45875</v>
      </c>
      <c r="E1023" s="1" t="n">
        <v>46284</v>
      </c>
      <c r="F1023" t="inlineStr">
        <is>
          <t>KRONOBERGS LÄN</t>
        </is>
      </c>
      <c r="G1023" t="inlineStr">
        <is>
          <t>LJUNGBY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37793-2025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45881</v>
      </c>
      <c r="E1024" s="1" t="n">
        <v>46284</v>
      </c>
      <c r="F1024" t="inlineStr">
        <is>
          <t>KRONOBERGS LÄN</t>
        </is>
      </c>
      <c r="G1024" t="inlineStr">
        <is>
          <t>LJUNGBY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37688-2025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45880</v>
      </c>
      <c r="E1025" s="1" t="n">
        <v>46284</v>
      </c>
      <c r="F1025" t="inlineStr">
        <is>
          <t>KRONOBERGS LÄN</t>
        </is>
      </c>
      <c r="G1025" t="inlineStr">
        <is>
          <t>LJUNGBY</t>
        </is>
      </c>
      <c r="I1025" t="n">
        <v>8.800000000000001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37779-2025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45880</v>
      </c>
      <c r="E1026" s="1" t="n">
        <v>46284</v>
      </c>
      <c r="F1026" t="inlineStr">
        <is>
          <t>KRONOBERGS LÄN</t>
        </is>
      </c>
      <c r="G1026" t="inlineStr">
        <is>
          <t>LJUNGBY</t>
        </is>
      </c>
      <c r="I1026" t="n">
        <v>9.5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37805-2025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45881</v>
      </c>
      <c r="E1027" s="1" t="n">
        <v>46284</v>
      </c>
      <c r="F1027" t="inlineStr">
        <is>
          <t>KRONOBERGS LÄN</t>
        </is>
      </c>
      <c r="G1027" t="inlineStr">
        <is>
          <t>LJUNGBY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2372-2023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45110</v>
      </c>
      <c r="E1028" s="1" t="n">
        <v>46284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5211-2022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44820</v>
      </c>
      <c r="E1029" s="1" t="n">
        <v>46284</v>
      </c>
      <c r="F1029" t="inlineStr">
        <is>
          <t>KRONOBERGS LÄN</t>
        </is>
      </c>
      <c r="G1029" t="inlineStr">
        <is>
          <t>LJUNGBY</t>
        </is>
      </c>
      <c r="I1029" t="n">
        <v>13.4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3418-2024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45537</v>
      </c>
      <c r="E1030" s="1" t="n">
        <v>46284</v>
      </c>
      <c r="F1030" t="inlineStr">
        <is>
          <t>KRONOBERGS LÄN</t>
        </is>
      </c>
      <c r="G1030" t="inlineStr">
        <is>
          <t>LJUNGBY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3836-2023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45226</v>
      </c>
      <c r="E1031" s="1" t="n">
        <v>46284</v>
      </c>
      <c r="F1031" t="inlineStr">
        <is>
          <t>KRONOBERGS LÄN</t>
        </is>
      </c>
      <c r="G1031" t="inlineStr">
        <is>
          <t>LJUNGBY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3278-2024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45527</v>
      </c>
      <c r="E1032" s="1" t="n">
        <v>46284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4450-2024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45593</v>
      </c>
      <c r="E1033" s="1" t="n">
        <v>46284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1523-2022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44638</v>
      </c>
      <c r="E1034" s="1" t="n">
        <v>46284</v>
      </c>
      <c r="F1034" t="inlineStr">
        <is>
          <t>KRONOBERGS LÄN</t>
        </is>
      </c>
      <c r="G1034" t="inlineStr">
        <is>
          <t>LJUNGBY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928-2023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45000</v>
      </c>
      <c r="E1035" s="1" t="n">
        <v>46284</v>
      </c>
      <c r="F1035" t="inlineStr">
        <is>
          <t>KRONOBERGS LÄN</t>
        </is>
      </c>
      <c r="G1035" t="inlineStr">
        <is>
          <t>LJUNGBY</t>
        </is>
      </c>
      <c r="I1035" t="n">
        <v>8.800000000000001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46284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5212-2022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44820</v>
      </c>
      <c r="E1037" s="1" t="n">
        <v>46284</v>
      </c>
      <c r="F1037" t="inlineStr">
        <is>
          <t>KRONOBERGS LÄN</t>
        </is>
      </c>
      <c r="G1037" t="inlineStr">
        <is>
          <t>LJUNGBY</t>
        </is>
      </c>
      <c r="I1037" t="n">
        <v>7.9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1556-2022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46284</v>
      </c>
      <c r="F1038" t="inlineStr">
        <is>
          <t>KRONOBERGS LÄN</t>
        </is>
      </c>
      <c r="G1038" t="inlineStr">
        <is>
          <t>LJUNGBY</t>
        </is>
      </c>
      <c r="I1038" t="n">
        <v>17.6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1395-2024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45412</v>
      </c>
      <c r="E1039" s="1" t="n">
        <v>46284</v>
      </c>
      <c r="F1039" t="inlineStr">
        <is>
          <t>KRONOBERGS LÄN</t>
        </is>
      </c>
      <c r="G1039" t="inlineStr">
        <is>
          <t>LJUNGBY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4474-2023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45272</v>
      </c>
      <c r="E1040" s="1" t="n">
        <v>46284</v>
      </c>
      <c r="F1040" t="inlineStr">
        <is>
          <t>KRONOBERGS LÄN</t>
        </is>
      </c>
      <c r="G1040" t="inlineStr">
        <is>
          <t>LJUNGBY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2871-2023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45168</v>
      </c>
      <c r="E1041" s="1" t="n">
        <v>46284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943-2024</t>
        </is>
      </c>
      <c r="B1042" t="inlineStr">
        <is>
          <t>samrådsanmälan</t>
        </is>
      </c>
      <c r="C1042" t="inlineStr">
        <is>
          <t>Skogsgödsling</t>
        </is>
      </c>
      <c r="D1042" s="1" t="n">
        <v>45378</v>
      </c>
      <c r="E1042" s="1" t="n">
        <v>46284</v>
      </c>
      <c r="F1042" t="inlineStr">
        <is>
          <t>KRONOBERGS LÄN</t>
        </is>
      </c>
      <c r="G1042" t="inlineStr">
        <is>
          <t>LJUNGBY</t>
        </is>
      </c>
      <c r="I1042" t="n">
        <v>24.5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1583-2022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46284</v>
      </c>
      <c r="F1043" t="inlineStr">
        <is>
          <t>KRONOBERGS LÄN</t>
        </is>
      </c>
      <c r="G1043" t="inlineStr">
        <is>
          <t>LJUNGBY</t>
        </is>
      </c>
      <c r="I1043" t="n">
        <v>11.4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1772-2022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44655</v>
      </c>
      <c r="E1044" s="1" t="n">
        <v>46284</v>
      </c>
      <c r="F1044" t="inlineStr">
        <is>
          <t>KRONOBERGS LÄN</t>
        </is>
      </c>
      <c r="G1044" t="inlineStr">
        <is>
          <t>LJUNGBY</t>
        </is>
      </c>
      <c r="I1044" t="n">
        <v>28.9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3725-2024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45554</v>
      </c>
      <c r="E1045" s="1" t="n">
        <v>46284</v>
      </c>
      <c r="F1045" t="inlineStr">
        <is>
          <t>KRONOBERGS LÄN</t>
        </is>
      </c>
      <c r="G1045" t="inlineStr">
        <is>
          <t>LJUNGBY</t>
        </is>
      </c>
      <c r="I1045" t="n">
        <v>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7990-2021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44484</v>
      </c>
      <c r="E1046" s="1" t="n">
        <v>46284</v>
      </c>
      <c r="F1046" t="inlineStr">
        <is>
          <t>KRONOBERGS LÄN</t>
        </is>
      </c>
      <c r="G1046" t="inlineStr">
        <is>
          <t>LJUNGBY</t>
        </is>
      </c>
      <c r="I1046" t="n">
        <v>24.8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4103-2024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45574</v>
      </c>
      <c r="E1047" s="1" t="n">
        <v>46284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4818-2024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45615</v>
      </c>
      <c r="E1048" s="1" t="n">
        <v>46284</v>
      </c>
      <c r="F1048" t="inlineStr">
        <is>
          <t>KRONOBERGS LÄN</t>
        </is>
      </c>
      <c r="G1048" t="inlineStr">
        <is>
          <t>LJUNGBY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3272-2024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45526</v>
      </c>
      <c r="E1049" s="1" t="n">
        <v>46284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4543-2024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45597</v>
      </c>
      <c r="E1050" s="1" t="n">
        <v>46284</v>
      </c>
      <c r="F1050" t="inlineStr">
        <is>
          <t>KRONOBERGS LÄN</t>
        </is>
      </c>
      <c r="G1050" t="inlineStr">
        <is>
          <t>LJUNGBY</t>
        </is>
      </c>
      <c r="I1050" t="n">
        <v>16.8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1299-2023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45033</v>
      </c>
      <c r="E1051" s="1" t="n">
        <v>46284</v>
      </c>
      <c r="F1051" t="inlineStr">
        <is>
          <t>KRONOBERGS LÄN</t>
        </is>
      </c>
      <c r="G1051" t="inlineStr">
        <is>
          <t>LJUNGBY</t>
        </is>
      </c>
      <c r="I1051" t="n">
        <v>14.7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3711-2024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45553</v>
      </c>
      <c r="E1052" s="1" t="n">
        <v>46284</v>
      </c>
      <c r="F1052" t="inlineStr">
        <is>
          <t>KRONOBERGS LÄN</t>
        </is>
      </c>
      <c r="G1052" t="inlineStr">
        <is>
          <t>LJUNGBY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671-2024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46284</v>
      </c>
      <c r="F1053" t="inlineStr">
        <is>
          <t>KRONOBERGS LÄN</t>
        </is>
      </c>
      <c r="G1053" t="inlineStr">
        <is>
          <t>LJUNGBY</t>
        </is>
      </c>
      <c r="I1053" t="n">
        <v>22.9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45427</v>
      </c>
      <c r="E1054" s="1" t="n">
        <v>46284</v>
      </c>
      <c r="F1054" t="inlineStr">
        <is>
          <t>KRONOBERGS LÄN</t>
        </is>
      </c>
      <c r="G1054" t="inlineStr">
        <is>
          <t>LJUNGBY</t>
        </is>
      </c>
      <c r="I1054" t="n">
        <v>12.3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1544-2022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44642</v>
      </c>
      <c r="E1055" s="1" t="n">
        <v>46284</v>
      </c>
      <c r="F1055" t="inlineStr">
        <is>
          <t>KRONOBERGS LÄN</t>
        </is>
      </c>
      <c r="G1055" t="inlineStr">
        <is>
          <t>LJUNGBY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2002-2024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45447</v>
      </c>
      <c r="E1056" s="1" t="n">
        <v>46284</v>
      </c>
      <c r="F1056" t="inlineStr">
        <is>
          <t>KRONOBERGS LÄN</t>
        </is>
      </c>
      <c r="G1056" t="inlineStr">
        <is>
          <t>LJUNGBY</t>
        </is>
      </c>
      <c r="I1056" t="n">
        <v>14.8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45294</v>
      </c>
      <c r="E1057" s="1" t="n">
        <v>46284</v>
      </c>
      <c r="F1057" t="inlineStr">
        <is>
          <t>KRONOBERGS LÄN</t>
        </is>
      </c>
      <c r="G1057" t="inlineStr">
        <is>
          <t>LJUNGBY</t>
        </is>
      </c>
      <c r="I1057" t="n">
        <v>50.3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5421-2022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44831</v>
      </c>
      <c r="E1058" s="1" t="n">
        <v>46284</v>
      </c>
      <c r="F1058" t="inlineStr">
        <is>
          <t>KRONOBERGS LÄN</t>
        </is>
      </c>
      <c r="G1058" t="inlineStr">
        <is>
          <t>LJUNGBY</t>
        </is>
      </c>
      <c r="I1058" t="n">
        <v>20.5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927-2023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45000</v>
      </c>
      <c r="E1059" s="1" t="n">
        <v>46284</v>
      </c>
      <c r="F1059" t="inlineStr">
        <is>
          <t>KRONOBERGS LÄN</t>
        </is>
      </c>
      <c r="G1059" t="inlineStr">
        <is>
          <t>LJUNGBY</t>
        </is>
      </c>
      <c r="I1059" t="n">
        <v>19.5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2870-2023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45168</v>
      </c>
      <c r="E1060" s="1" t="n">
        <v>46284</v>
      </c>
      <c r="F1060" t="inlineStr">
        <is>
          <t>KRONOBERGS LÄN</t>
        </is>
      </c>
      <c r="G1060" t="inlineStr">
        <is>
          <t>LJUNGBY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1441-2023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45044</v>
      </c>
      <c r="E1061" s="1" t="n">
        <v>46284</v>
      </c>
      <c r="F1061" t="inlineStr">
        <is>
          <t>KRONOBERGS LÄN</t>
        </is>
      </c>
      <c r="G1061" t="inlineStr">
        <is>
          <t>LJUNGBY</t>
        </is>
      </c>
      <c r="I1061" t="n">
        <v>26.9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4438-2023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45267</v>
      </c>
      <c r="E1062" s="1" t="n">
        <v>46284</v>
      </c>
      <c r="F1062" t="inlineStr">
        <is>
          <t>KRONOBERGS LÄN</t>
        </is>
      </c>
      <c r="G1062" t="inlineStr">
        <is>
          <t>LJUNGBY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1908-2024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45442</v>
      </c>
      <c r="E1063" s="1" t="n">
        <v>46284</v>
      </c>
      <c r="F1063" t="inlineStr">
        <is>
          <t>KRONOBERGS LÄN</t>
        </is>
      </c>
      <c r="G1063" t="inlineStr">
        <is>
          <t>LJUNGBY</t>
        </is>
      </c>
      <c r="I1063" t="n">
        <v>19.4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340-2023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44960</v>
      </c>
      <c r="E1064" s="1" t="n">
        <v>46284</v>
      </c>
      <c r="F1064" t="inlineStr">
        <is>
          <t>KRONOBERGS LÄN</t>
        </is>
      </c>
      <c r="G1064" t="inlineStr">
        <is>
          <t>LJUNGBY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563-2023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46284</v>
      </c>
      <c r="F1065" t="inlineStr">
        <is>
          <t>KRONOBERGS LÄN</t>
        </is>
      </c>
      <c r="G1065" t="inlineStr">
        <is>
          <t>LJUNGBY</t>
        </is>
      </c>
      <c r="I1065" t="n">
        <v>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3849-2024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45560</v>
      </c>
      <c r="E1066" s="1" t="n">
        <v>46284</v>
      </c>
      <c r="F1066" t="inlineStr">
        <is>
          <t>KRONOBERGS LÄN</t>
        </is>
      </c>
      <c r="G1066" t="inlineStr">
        <is>
          <t>LJUNGBY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670-2024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45357</v>
      </c>
      <c r="E1067" s="1" t="n">
        <v>46284</v>
      </c>
      <c r="F1067" t="inlineStr">
        <is>
          <t>KRONOBERGS LÄN</t>
        </is>
      </c>
      <c r="G1067" t="inlineStr">
        <is>
          <t>LJUNGBY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6542-2022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44882</v>
      </c>
      <c r="E1068" s="1" t="n">
        <v>46284</v>
      </c>
      <c r="F1068" t="inlineStr">
        <is>
          <t>KRONOBERGS LÄN</t>
        </is>
      </c>
      <c r="G1068" t="inlineStr">
        <is>
          <t>LJUNGBY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2373-2023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45110</v>
      </c>
      <c r="E1069" s="1" t="n">
        <v>46284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1132-2025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45755</v>
      </c>
      <c r="E1070" s="1" t="n">
        <v>46284</v>
      </c>
      <c r="F1070" t="inlineStr">
        <is>
          <t>KRONOBERGS LÄN</t>
        </is>
      </c>
      <c r="G1070" t="inlineStr">
        <is>
          <t>LJUNGBY</t>
        </is>
      </c>
      <c r="I1070" t="n">
        <v>29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5044-2024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45637</v>
      </c>
      <c r="E1071" s="1" t="n">
        <v>46284</v>
      </c>
      <c r="F1071" t="inlineStr">
        <is>
          <t>KRONOBERGS LÄN</t>
        </is>
      </c>
      <c r="G1071" t="inlineStr">
        <is>
          <t>LJUNGBY</t>
        </is>
      </c>
      <c r="I1071" t="n">
        <v>25.9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5130-2024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45645</v>
      </c>
      <c r="E1072" s="1" t="n">
        <v>46284</v>
      </c>
      <c r="F1072" t="inlineStr">
        <is>
          <t>KRONOBERGS LÄN</t>
        </is>
      </c>
      <c r="G1072" t="inlineStr">
        <is>
          <t>LJUNGBY</t>
        </is>
      </c>
      <c r="I1072" t="n">
        <v>24.1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597-2025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45713</v>
      </c>
      <c r="E1073" s="1" t="n">
        <v>46284</v>
      </c>
      <c r="F1073" t="inlineStr">
        <is>
          <t>KRONOBERGS LÄN</t>
        </is>
      </c>
      <c r="G1073" t="inlineStr">
        <is>
          <t>LJUNGBY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962-2025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45742</v>
      </c>
      <c r="E1074" s="1" t="n">
        <v>46284</v>
      </c>
      <c r="F1074" t="inlineStr">
        <is>
          <t>KRONOBERGS LÄN</t>
        </is>
      </c>
      <c r="G1074" t="inlineStr">
        <is>
          <t>LJUNGBY</t>
        </is>
      </c>
      <c r="I1074" t="n">
        <v>18.8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712-2025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45720</v>
      </c>
      <c r="E1075" s="1" t="n">
        <v>46284</v>
      </c>
      <c r="F1075" t="inlineStr">
        <is>
          <t>KRONOBERGS LÄN</t>
        </is>
      </c>
      <c r="G1075" t="inlineStr">
        <is>
          <t>LJUNGBY</t>
        </is>
      </c>
      <c r="I1075" t="n">
        <v>15.1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5018-2024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45632</v>
      </c>
      <c r="E1076" s="1" t="n">
        <v>46284</v>
      </c>
      <c r="F1076" t="inlineStr">
        <is>
          <t>KRONOBERGS LÄN</t>
        </is>
      </c>
      <c r="G1076" t="inlineStr">
        <is>
          <t>LJUNGBY</t>
        </is>
      </c>
      <c r="I1076" t="n">
        <v>13.7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4999-2024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45631</v>
      </c>
      <c r="E1077" s="1" t="n">
        <v>46284</v>
      </c>
      <c r="F1077" t="inlineStr">
        <is>
          <t>KRONOBERGS LÄN</t>
        </is>
      </c>
      <c r="G1077" t="inlineStr">
        <is>
          <t>LJUNGBY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604-2025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46284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1495-2025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45789</v>
      </c>
      <c r="E1079" s="1" t="n">
        <v>46284</v>
      </c>
      <c r="F1079" t="inlineStr">
        <is>
          <t>KRONOBERGS LÄN</t>
        </is>
      </c>
      <c r="G1079" t="inlineStr">
        <is>
          <t>LJUNGBY</t>
        </is>
      </c>
      <c r="I1079" t="n">
        <v>25.7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1813-2025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45818</v>
      </c>
      <c r="E1080" s="1" t="n">
        <v>46284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1952-2025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46284</v>
      </c>
      <c r="F1081" t="inlineStr">
        <is>
          <t>KRONOBERGS LÄN</t>
        </is>
      </c>
      <c r="G1081" t="inlineStr">
        <is>
          <t>LJUNGBY</t>
        </is>
      </c>
      <c r="I1081" t="n">
        <v>16.2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1954-2025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46284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2405-2025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45895</v>
      </c>
      <c r="E1083" s="1" t="n">
        <v>46284</v>
      </c>
      <c r="F1083" t="inlineStr">
        <is>
          <t>KRONOBERGS LÄN</t>
        </is>
      </c>
      <c r="G1083" t="inlineStr">
        <is>
          <t>LJUNGBY</t>
        </is>
      </c>
      <c r="I1083" t="n">
        <v>45.2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2401-2025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46284</v>
      </c>
      <c r="F1084" t="inlineStr">
        <is>
          <t>KRONOBERGS LÄN</t>
        </is>
      </c>
      <c r="G1084" t="inlineStr">
        <is>
          <t>LJUNGBY</t>
        </is>
      </c>
      <c r="I1084" t="n">
        <v>26.2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2394-2025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45894</v>
      </c>
      <c r="E1085" s="1" t="n">
        <v>46284</v>
      </c>
      <c r="F1085" t="inlineStr">
        <is>
          <t>KRONOBERGS LÄN</t>
        </is>
      </c>
      <c r="G1085" t="inlineStr">
        <is>
          <t>LJUNGBY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46284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46284</v>
      </c>
      <c r="F1087" t="inlineStr">
        <is>
          <t>KRONOBERGS LÄN</t>
        </is>
      </c>
      <c r="G1087" t="inlineStr">
        <is>
          <t>LJUNGBY</t>
        </is>
      </c>
      <c r="I1087" t="n">
        <v>13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46284</v>
      </c>
      <c r="F1088" t="inlineStr">
        <is>
          <t>KRONOBERGS LÄN</t>
        </is>
      </c>
      <c r="G1088" t="inlineStr">
        <is>
          <t>LJUNGBY</t>
        </is>
      </c>
      <c r="I1088" t="n">
        <v>15.7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46029</v>
      </c>
      <c r="E1089" s="1" t="n">
        <v>46284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46063</v>
      </c>
      <c r="E1090" s="1" t="n">
        <v>46284</v>
      </c>
      <c r="F1090" t="inlineStr">
        <is>
          <t>KRONOBERGS LÄN</t>
        </is>
      </c>
      <c r="G1090" t="inlineStr">
        <is>
          <t>LJUNGBY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330-2026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46062</v>
      </c>
      <c r="E1091" s="1" t="n">
        <v>46284</v>
      </c>
      <c r="F1091" t="inlineStr">
        <is>
          <t>KRONOBERGS LÄN</t>
        </is>
      </c>
      <c r="G1091" t="inlineStr">
        <is>
          <t>LJUNGBY</t>
        </is>
      </c>
      <c r="I1091" t="n">
        <v>27.9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366-2026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46064</v>
      </c>
      <c r="E1092" s="1" t="n">
        <v>46284</v>
      </c>
      <c r="F1092" t="inlineStr">
        <is>
          <t>KRONOBERGS LÄN</t>
        </is>
      </c>
      <c r="G1092" t="inlineStr">
        <is>
          <t>LJUNGBY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1350-2026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46150</v>
      </c>
      <c r="E1093" s="1" t="n">
        <v>46284</v>
      </c>
      <c r="F1093" t="inlineStr">
        <is>
          <t>KRONOBERGS LÄN</t>
        </is>
      </c>
      <c r="G1093" t="inlineStr">
        <is>
          <t>LJUNGBY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1348-2026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46284</v>
      </c>
      <c r="F1094" t="inlineStr">
        <is>
          <t>KRONOBERGS LÄN</t>
        </is>
      </c>
      <c r="G1094" t="inlineStr">
        <is>
          <t>LJUNGBY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1425-2026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46156</v>
      </c>
      <c r="E1095" s="1" t="n">
        <v>46284</v>
      </c>
      <c r="F1095" t="inlineStr">
        <is>
          <t>KRONOBERGS LÄN</t>
        </is>
      </c>
      <c r="G1095" t="inlineStr">
        <is>
          <t>LJUNGBY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1458-2026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46161</v>
      </c>
      <c r="E1096" s="1" t="n">
        <v>46284</v>
      </c>
      <c r="F1096" t="inlineStr">
        <is>
          <t>KRONOBERGS LÄN</t>
        </is>
      </c>
      <c r="G1096" t="inlineStr">
        <is>
          <t>LJUNGBY</t>
        </is>
      </c>
      <c r="I1096" t="n">
        <v>45.4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1459-2026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46284</v>
      </c>
      <c r="F1097" t="inlineStr">
        <is>
          <t>KRONOBERGS LÄN</t>
        </is>
      </c>
      <c r="G1097" t="inlineStr">
        <is>
          <t>LJUNGBY</t>
        </is>
      </c>
      <c r="I1097" t="n">
        <v>20.3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2003-2026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46209</v>
      </c>
      <c r="E1098" s="1" t="n">
        <v>46284</v>
      </c>
      <c r="F1098" t="inlineStr">
        <is>
          <t>KRONOBERGS LÄN</t>
        </is>
      </c>
      <c r="G1098" t="inlineStr">
        <is>
          <t>LJUNGBY</t>
        </is>
      </c>
      <c r="H1098" t="inlineStr">
        <is>
          <t>Kommuner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46284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2411-2026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46279</v>
      </c>
      <c r="E1100" s="1" t="n">
        <v>46284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2408-2026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46284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2026-09-19T02:02:08Z</dcterms:created>
  <dcterms:modified xmlns:dcterms="http://purl.org/dc/terms/" xmlns:xsi="http://www.w3.org/2001/XMLSchema-instance" xsi:type="dcterms:W3CDTF">2026-09-19T02:02:10Z</dcterms:modified>
</cp:coreProperties>
</file>