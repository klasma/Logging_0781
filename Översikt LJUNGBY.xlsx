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46073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46073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46073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46073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46073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46073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46073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46073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46073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46073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46073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46073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46073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46073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46073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46073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40690-2025</t>
        </is>
      </c>
      <c r="B27" s="1" t="n">
        <v>45896.9408912037</v>
      </c>
      <c r="C27" s="1" t="n">
        <v>46073</v>
      </c>
      <c r="D27" t="inlineStr">
        <is>
          <t>KRONOBERGS LÄN</t>
        </is>
      </c>
      <c r="E27" t="inlineStr">
        <is>
          <t>LJUNGBY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40690-2025 artfynd.xlsx", "A 40690-2025")</f>
        <v/>
      </c>
      <c r="T27">
        <f>HYPERLINK("https://klasma.github.io/Logging_0781/kartor/A 40690-2025 karta.png", "A 40690-2025")</f>
        <v/>
      </c>
      <c r="V27">
        <f>HYPERLINK("https://klasma.github.io/Logging_0781/klagomål/A 40690-2025 FSC-klagomål.docx", "A 40690-2025")</f>
        <v/>
      </c>
      <c r="W27">
        <f>HYPERLINK("https://klasma.github.io/Logging_0781/klagomålsmail/A 40690-2025 FSC-klagomål mail.docx", "A 40690-2025")</f>
        <v/>
      </c>
      <c r="X27">
        <f>HYPERLINK("https://klasma.github.io/Logging_0781/tillsyn/A 40690-2025 tillsynsbegäran.docx", "A 40690-2025")</f>
        <v/>
      </c>
      <c r="Y27">
        <f>HYPERLINK("https://klasma.github.io/Logging_0781/tillsynsmail/A 40690-2025 tillsynsbegäran mail.docx", "A 40690-2025")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46073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56742-2025</t>
        </is>
      </c>
      <c r="B29" s="1" t="n">
        <v>45978</v>
      </c>
      <c r="C29" s="1" t="n">
        <v>46073</v>
      </c>
      <c r="D29" t="inlineStr">
        <is>
          <t>KRONOBERGS LÄN</t>
        </is>
      </c>
      <c r="E29" t="inlineStr">
        <is>
          <t>LJUNGBY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Granbräken</t>
        </is>
      </c>
      <c r="S29">
        <f>HYPERLINK("https://klasma.github.io/Logging_0781/artfynd/A 56742-2025 artfynd.xlsx", "A 56742-2025")</f>
        <v/>
      </c>
      <c r="T29">
        <f>HYPERLINK("https://klasma.github.io/Logging_0781/kartor/A 56742-2025 karta.png", "A 56742-2025")</f>
        <v/>
      </c>
      <c r="V29">
        <f>HYPERLINK("https://klasma.github.io/Logging_0781/klagomål/A 56742-2025 FSC-klagomål.docx", "A 56742-2025")</f>
        <v/>
      </c>
      <c r="W29">
        <f>HYPERLINK("https://klasma.github.io/Logging_0781/klagomålsmail/A 56742-2025 FSC-klagomål mail.docx", "A 56742-2025")</f>
        <v/>
      </c>
      <c r="X29">
        <f>HYPERLINK("https://klasma.github.io/Logging_0781/tillsyn/A 56742-2025 tillsynsbegäran.docx", "A 56742-2025")</f>
        <v/>
      </c>
      <c r="Y29">
        <f>HYPERLINK("https://klasma.github.io/Logging_0781/tillsynsmail/A 56742-2025 tillsynsbegäran mail.docx", "A 56742-2025")</f>
        <v/>
      </c>
    </row>
    <row r="30" ht="15" customHeight="1">
      <c r="A30" t="inlineStr">
        <is>
          <t>A 9911-2023</t>
        </is>
      </c>
      <c r="B30" s="1" t="n">
        <v>44985</v>
      </c>
      <c r="C30" s="1" t="n">
        <v>46073</v>
      </c>
      <c r="D30" t="inlineStr">
        <is>
          <t>KRONOBERGS LÄN</t>
        </is>
      </c>
      <c r="E30" t="inlineStr">
        <is>
          <t>LJUNGBY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HYPERLINK("https://klasma.github.io/Logging_0781/artfynd/A 9911-2023 artfynd.xlsx", "A 9911-2023")</f>
        <v/>
      </c>
      <c r="T30">
        <f>HYPERLINK("https://klasma.github.io/Logging_0781/kartor/A 9911-2023 karta.png", "A 9911-2023")</f>
        <v/>
      </c>
      <c r="V30">
        <f>HYPERLINK("https://klasma.github.io/Logging_0781/klagomål/A 9911-2023 FSC-klagomål.docx", "A 9911-2023")</f>
        <v/>
      </c>
      <c r="W30">
        <f>HYPERLINK("https://klasma.github.io/Logging_0781/klagomålsmail/A 9911-2023 FSC-klagomål mail.docx", "A 9911-2023")</f>
        <v/>
      </c>
      <c r="X30">
        <f>HYPERLINK("https://klasma.github.io/Logging_0781/tillsyn/A 9911-2023 tillsynsbegäran.docx", "A 9911-2023")</f>
        <v/>
      </c>
      <c r="Y30">
        <f>HYPERLINK("https://klasma.github.io/Logging_0781/tillsynsmail/A 9911-2023 tillsynsbegäran mail.docx", "A 9911-2023")</f>
        <v/>
      </c>
    </row>
    <row r="31" ht="15" customHeight="1">
      <c r="A31" t="inlineStr">
        <is>
          <t>A 28041-2024</t>
        </is>
      </c>
      <c r="B31" s="1" t="n">
        <v>45476.50744212963</v>
      </c>
      <c r="C31" s="1" t="n">
        <v>46073</v>
      </c>
      <c r="D31" t="inlineStr">
        <is>
          <t>KRONOBERGS LÄN</t>
        </is>
      </c>
      <c r="E31" t="inlineStr">
        <is>
          <t>LJUNGBY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28041-2024 artfynd.xlsx", "A 28041-2024")</f>
        <v/>
      </c>
      <c r="T31">
        <f>HYPERLINK("https://klasma.github.io/Logging_0781/kartor/A 28041-2024 karta.png", "A 28041-2024")</f>
        <v/>
      </c>
      <c r="V31">
        <f>HYPERLINK("https://klasma.github.io/Logging_0781/klagomål/A 28041-2024 FSC-klagomål.docx", "A 28041-2024")</f>
        <v/>
      </c>
      <c r="W31">
        <f>HYPERLINK("https://klasma.github.io/Logging_0781/klagomålsmail/A 28041-2024 FSC-klagomål mail.docx", "A 28041-2024")</f>
        <v/>
      </c>
      <c r="X31">
        <f>HYPERLINK("https://klasma.github.io/Logging_0781/tillsyn/A 28041-2024 tillsynsbegäran.docx", "A 28041-2024")</f>
        <v/>
      </c>
      <c r="Y31">
        <f>HYPERLINK("https://klasma.github.io/Logging_0781/tillsynsmail/A 28041-2024 tillsynsbegäran mail.docx", "A 28041-2024")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46073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46073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40560-2024</t>
        </is>
      </c>
      <c r="B34" s="1" t="n">
        <v>45555.65903935185</v>
      </c>
      <c r="C34" s="1" t="n">
        <v>46073</v>
      </c>
      <c r="D34" t="inlineStr">
        <is>
          <t>KRONOBERGS LÄN</t>
        </is>
      </c>
      <c r="E34" t="inlineStr">
        <is>
          <t>LJUNGBY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40560-2024 artfynd.xlsx", "A 40560-2024")</f>
        <v/>
      </c>
      <c r="T34">
        <f>HYPERLINK("https://klasma.github.io/Logging_0781/kartor/A 40560-2024 karta.png", "A 40560-2024")</f>
        <v/>
      </c>
      <c r="V34">
        <f>HYPERLINK("https://klasma.github.io/Logging_0781/klagomål/A 40560-2024 FSC-klagomål.docx", "A 40560-2024")</f>
        <v/>
      </c>
      <c r="W34">
        <f>HYPERLINK("https://klasma.github.io/Logging_0781/klagomålsmail/A 40560-2024 FSC-klagomål mail.docx", "A 40560-2024")</f>
        <v/>
      </c>
      <c r="X34">
        <f>HYPERLINK("https://klasma.github.io/Logging_0781/tillsyn/A 40560-2024 tillsynsbegäran.docx", "A 40560-2024")</f>
        <v/>
      </c>
      <c r="Y34">
        <f>HYPERLINK("https://klasma.github.io/Logging_0781/tillsynsmail/A 40560-2024 tillsynsbegäran mail.docx", "A 40560-2024")</f>
        <v/>
      </c>
      <c r="Z34">
        <f>HYPERLINK("https://klasma.github.io/Logging_0781/fåglar/A 40560-2024 prioriterade fågelarter.docx", "A 40560-2024")</f>
        <v/>
      </c>
    </row>
    <row r="35" ht="15" customHeight="1">
      <c r="A35" t="inlineStr">
        <is>
          <t>A 56760-2025</t>
        </is>
      </c>
      <c r="B35" s="1" t="n">
        <v>45978.37395833333</v>
      </c>
      <c r="C35" s="1" t="n">
        <v>46073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Månlåsbräken</t>
        </is>
      </c>
      <c r="S35">
        <f>HYPERLINK("https://klasma.github.io/Logging_0781/artfynd/A 56760-2025 artfynd.xlsx", "A 56760-2025")</f>
        <v/>
      </c>
      <c r="T35">
        <f>HYPERLINK("https://klasma.github.io/Logging_0781/kartor/A 56760-2025 karta.png", "A 56760-2025")</f>
        <v/>
      </c>
      <c r="V35">
        <f>HYPERLINK("https://klasma.github.io/Logging_0781/klagomål/A 56760-2025 FSC-klagomål.docx", "A 56760-2025")</f>
        <v/>
      </c>
      <c r="W35">
        <f>HYPERLINK("https://klasma.github.io/Logging_0781/klagomålsmail/A 56760-2025 FSC-klagomål mail.docx", "A 56760-2025")</f>
        <v/>
      </c>
      <c r="X35">
        <f>HYPERLINK("https://klasma.github.io/Logging_0781/tillsyn/A 56760-2025 tillsynsbegäran.docx", "A 56760-2025")</f>
        <v/>
      </c>
      <c r="Y35">
        <f>HYPERLINK("https://klasma.github.io/Logging_0781/tillsynsmail/A 56760-2025 tillsynsbegäran mail.docx", "A 56760-2025")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46073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46073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28560-2025</t>
        </is>
      </c>
      <c r="B38" s="1" t="n">
        <v>45819</v>
      </c>
      <c r="C38" s="1" t="n">
        <v>46073</v>
      </c>
      <c r="D38" t="inlineStr">
        <is>
          <t>KRONOBERGS LÄN</t>
        </is>
      </c>
      <c r="E38" t="inlineStr">
        <is>
          <t>LJUNGBY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HYPERLINK("https://klasma.github.io/Logging_0781/artfynd/A 28560-2025 artfynd.xlsx", "A 28560-2025")</f>
        <v/>
      </c>
      <c r="T38">
        <f>HYPERLINK("https://klasma.github.io/Logging_0781/kartor/A 28560-2025 karta.png", "A 28560-2025")</f>
        <v/>
      </c>
      <c r="V38">
        <f>HYPERLINK("https://klasma.github.io/Logging_0781/klagomål/A 28560-2025 FSC-klagomål.docx", "A 28560-2025")</f>
        <v/>
      </c>
      <c r="W38">
        <f>HYPERLINK("https://klasma.github.io/Logging_0781/klagomålsmail/A 28560-2025 FSC-klagomål mail.docx", "A 28560-2025")</f>
        <v/>
      </c>
      <c r="X38">
        <f>HYPERLINK("https://klasma.github.io/Logging_0781/tillsyn/A 28560-2025 tillsynsbegäran.docx", "A 28560-2025")</f>
        <v/>
      </c>
      <c r="Y38">
        <f>HYPERLINK("https://klasma.github.io/Logging_0781/tillsynsmail/A 28560-2025 tillsynsbegäran mail.docx", "A 28560-2025")</f>
        <v/>
      </c>
    </row>
    <row r="39" ht="15" customHeight="1">
      <c r="A39" t="inlineStr">
        <is>
          <t>A 51284-2021</t>
        </is>
      </c>
      <c r="B39" s="1" t="n">
        <v>44461</v>
      </c>
      <c r="C39" s="1" t="n">
        <v>46073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51284-2021 artfynd.xlsx", "A 51284-2021")</f>
        <v/>
      </c>
      <c r="T39">
        <f>HYPERLINK("https://klasma.github.io/Logging_0781/kartor/A 51284-2021 karta.png", "A 51284-2021")</f>
        <v/>
      </c>
      <c r="V39">
        <f>HYPERLINK("https://klasma.github.io/Logging_0781/klagomål/A 51284-2021 FSC-klagomål.docx", "A 51284-2021")</f>
        <v/>
      </c>
      <c r="W39">
        <f>HYPERLINK("https://klasma.github.io/Logging_0781/klagomålsmail/A 51284-2021 FSC-klagomål mail.docx", "A 51284-2021")</f>
        <v/>
      </c>
      <c r="X39">
        <f>HYPERLINK("https://klasma.github.io/Logging_0781/tillsyn/A 51284-2021 tillsynsbegäran.docx", "A 51284-2021")</f>
        <v/>
      </c>
      <c r="Y39">
        <f>HYPERLINK("https://klasma.github.io/Logging_0781/tillsynsmail/A 51284-2021 tillsynsbegäran mail.docx", "A 51284-2021")</f>
        <v/>
      </c>
      <c r="Z39">
        <f>HYPERLINK("https://klasma.github.io/Logging_0781/fåglar/A 51284-2021 prioriterade fågelarter.docx", "A 51284-2021")</f>
        <v/>
      </c>
    </row>
    <row r="40" ht="15" customHeight="1">
      <c r="A40" t="inlineStr">
        <is>
          <t>A 60681-2025</t>
        </is>
      </c>
      <c r="B40" s="1" t="n">
        <v>45996.57440972222</v>
      </c>
      <c r="C40" s="1" t="n">
        <v>46073</v>
      </c>
      <c r="D40" t="inlineStr">
        <is>
          <t>KRONOBERGS LÄN</t>
        </is>
      </c>
      <c r="E40" t="inlineStr">
        <is>
          <t>LJUNGBY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60681-2025 artfynd.xlsx", "A 60681-2025")</f>
        <v/>
      </c>
      <c r="T40">
        <f>HYPERLINK("https://klasma.github.io/Logging_0781/kartor/A 60681-2025 karta.png", "A 60681-2025")</f>
        <v/>
      </c>
      <c r="V40">
        <f>HYPERLINK("https://klasma.github.io/Logging_0781/klagomål/A 60681-2025 FSC-klagomål.docx", "A 60681-2025")</f>
        <v/>
      </c>
      <c r="W40">
        <f>HYPERLINK("https://klasma.github.io/Logging_0781/klagomålsmail/A 60681-2025 FSC-klagomål mail.docx", "A 60681-2025")</f>
        <v/>
      </c>
      <c r="X40">
        <f>HYPERLINK("https://klasma.github.io/Logging_0781/tillsyn/A 60681-2025 tillsynsbegäran.docx", "A 60681-2025")</f>
        <v/>
      </c>
      <c r="Y40">
        <f>HYPERLINK("https://klasma.github.io/Logging_0781/tillsynsmail/A 60681-2025 tillsynsbegäran mail.docx", "A 60681-2025")</f>
        <v/>
      </c>
      <c r="Z40">
        <f>HYPERLINK("https://klasma.github.io/Logging_0781/fåglar/A 60681-2025 prioriterade fågelarter.docx", "A 60681-2025")</f>
        <v/>
      </c>
    </row>
    <row r="41" ht="15" customHeight="1">
      <c r="A41" t="inlineStr">
        <is>
          <t>A 2015-2025</t>
        </is>
      </c>
      <c r="B41" s="1" t="n">
        <v>45672.46096064815</v>
      </c>
      <c r="C41" s="1" t="n">
        <v>46073</v>
      </c>
      <c r="D41" t="inlineStr">
        <is>
          <t>KRONOBERGS LÄN</t>
        </is>
      </c>
      <c r="E41" t="inlineStr">
        <is>
          <t>LJUNGBY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HYPERLINK("https://klasma.github.io/Logging_0781/artfynd/A 2015-2025 artfynd.xlsx", "A 2015-2025")</f>
        <v/>
      </c>
      <c r="T41">
        <f>HYPERLINK("https://klasma.github.io/Logging_0781/kartor/A 2015-2025 karta.png", "A 2015-2025")</f>
        <v/>
      </c>
      <c r="V41">
        <f>HYPERLINK("https://klasma.github.io/Logging_0781/klagomål/A 2015-2025 FSC-klagomål.docx", "A 2015-2025")</f>
        <v/>
      </c>
      <c r="W41">
        <f>HYPERLINK("https://klasma.github.io/Logging_0781/klagomålsmail/A 2015-2025 FSC-klagomål mail.docx", "A 2015-2025")</f>
        <v/>
      </c>
      <c r="X41">
        <f>HYPERLINK("https://klasma.github.io/Logging_0781/tillsyn/A 2015-2025 tillsynsbegäran.docx", "A 2015-2025")</f>
        <v/>
      </c>
      <c r="Y41">
        <f>HYPERLINK("https://klasma.github.io/Logging_0781/tillsynsmail/A 2015-2025 tillsynsbegäran mail.docx", "A 2015-2025")</f>
        <v/>
      </c>
    </row>
    <row r="42" ht="15" customHeight="1">
      <c r="A42" t="inlineStr">
        <is>
          <t>A 36305-2023</t>
        </is>
      </c>
      <c r="B42" s="1" t="n">
        <v>45152.37778935185</v>
      </c>
      <c r="C42" s="1" t="n">
        <v>46073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HYPERLINK("https://klasma.github.io/Logging_0781/artfynd/A 36305-2023 artfynd.xlsx", "A 36305-2023")</f>
        <v/>
      </c>
      <c r="T42">
        <f>HYPERLINK("https://klasma.github.io/Logging_0781/kartor/A 36305-2023 karta.png", "A 36305-2023")</f>
        <v/>
      </c>
      <c r="V42">
        <f>HYPERLINK("https://klasma.github.io/Logging_0781/klagomål/A 36305-2023 FSC-klagomål.docx", "A 36305-2023")</f>
        <v/>
      </c>
      <c r="W42">
        <f>HYPERLINK("https://klasma.github.io/Logging_0781/klagomålsmail/A 36305-2023 FSC-klagomål mail.docx", "A 36305-2023")</f>
        <v/>
      </c>
      <c r="X42">
        <f>HYPERLINK("https://klasma.github.io/Logging_0781/tillsyn/A 36305-2023 tillsynsbegäran.docx", "A 36305-2023")</f>
        <v/>
      </c>
      <c r="Y42">
        <f>HYPERLINK("https://klasma.github.io/Logging_0781/tillsynsmail/A 36305-2023 tillsynsbegäran mail.docx", "A 36305-2023")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46073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46073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46073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46073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4451-2025</t>
        </is>
      </c>
      <c r="B47" s="1" t="n">
        <v>45686.57611111111</v>
      </c>
      <c r="C47" s="1" t="n">
        <v>46073</v>
      </c>
      <c r="D47" t="inlineStr">
        <is>
          <t>KRONOBERGS LÄN</t>
        </is>
      </c>
      <c r="E47" t="inlineStr">
        <is>
          <t>LJUNGBY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HYPERLINK("https://klasma.github.io/Logging_0781/artfynd/A 4451-2025 artfynd.xlsx", "A 4451-2025")</f>
        <v/>
      </c>
      <c r="T47">
        <f>HYPERLINK("https://klasma.github.io/Logging_0781/kartor/A 4451-2025 karta.png", "A 4451-2025")</f>
        <v/>
      </c>
      <c r="V47">
        <f>HYPERLINK("https://klasma.github.io/Logging_0781/klagomål/A 4451-2025 FSC-klagomål.docx", "A 4451-2025")</f>
        <v/>
      </c>
      <c r="W47">
        <f>HYPERLINK("https://klasma.github.io/Logging_0781/klagomålsmail/A 4451-2025 FSC-klagomål mail.docx", "A 4451-2025")</f>
        <v/>
      </c>
      <c r="X47">
        <f>HYPERLINK("https://klasma.github.io/Logging_0781/tillsyn/A 4451-2025 tillsynsbegäran.docx", "A 4451-2025")</f>
        <v/>
      </c>
      <c r="Y47">
        <f>HYPERLINK("https://klasma.github.io/Logging_0781/tillsynsmail/A 4451-2025 tillsynsbegäran mail.docx", "A 4451-2025")</f>
        <v/>
      </c>
      <c r="Z47">
        <f>HYPERLINK("https://klasma.github.io/Logging_0781/fåglar/A 4451-2025 prioriterade fågelarter.docx", "A 4451-2025")</f>
        <v/>
      </c>
    </row>
    <row r="48" ht="15" customHeight="1">
      <c r="A48" t="inlineStr">
        <is>
          <t>A 60139-2024</t>
        </is>
      </c>
      <c r="B48" s="1" t="n">
        <v>45642.60756944444</v>
      </c>
      <c r="C48" s="1" t="n">
        <v>46073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HYPERLINK("https://klasma.github.io/Logging_0781/artfynd/A 60139-2024 artfynd.xlsx", "A 60139-2024")</f>
        <v/>
      </c>
      <c r="T48">
        <f>HYPERLINK("https://klasma.github.io/Logging_0781/kartor/A 60139-2024 karta.png", "A 60139-2024")</f>
        <v/>
      </c>
      <c r="V48">
        <f>HYPERLINK("https://klasma.github.io/Logging_0781/klagomål/A 60139-2024 FSC-klagomål.docx", "A 60139-2024")</f>
        <v/>
      </c>
      <c r="W48">
        <f>HYPERLINK("https://klasma.github.io/Logging_0781/klagomålsmail/A 60139-2024 FSC-klagomål mail.docx", "A 60139-2024")</f>
        <v/>
      </c>
      <c r="X48">
        <f>HYPERLINK("https://klasma.github.io/Logging_0781/tillsyn/A 60139-2024 tillsynsbegäran.docx", "A 60139-2024")</f>
        <v/>
      </c>
      <c r="Y48">
        <f>HYPERLINK("https://klasma.github.io/Logging_0781/tillsynsmail/A 60139-2024 tillsynsbegäran mail.docx", "A 60139-2024")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46073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46073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13460-2023</t>
        </is>
      </c>
      <c r="B51" s="1" t="n">
        <v>45005</v>
      </c>
      <c r="C51" s="1" t="n">
        <v>46073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13460-2023 artfynd.xlsx", "A 13460-2023")</f>
        <v/>
      </c>
      <c r="T51">
        <f>HYPERLINK("https://klasma.github.io/Logging_0781/kartor/A 13460-2023 karta.png", "A 13460-2023")</f>
        <v/>
      </c>
      <c r="V51">
        <f>HYPERLINK("https://klasma.github.io/Logging_0781/klagomål/A 13460-2023 FSC-klagomål.docx", "A 13460-2023")</f>
        <v/>
      </c>
      <c r="W51">
        <f>HYPERLINK("https://klasma.github.io/Logging_0781/klagomålsmail/A 13460-2023 FSC-klagomål mail.docx", "A 13460-2023")</f>
        <v/>
      </c>
      <c r="X51">
        <f>HYPERLINK("https://klasma.github.io/Logging_0781/tillsyn/A 13460-2023 tillsynsbegäran.docx", "A 13460-2023")</f>
        <v/>
      </c>
      <c r="Y51">
        <f>HYPERLINK("https://klasma.github.io/Logging_0781/tillsynsmail/A 13460-2023 tillsynsbegäran mail.docx", "A 13460-2023")</f>
        <v/>
      </c>
      <c r="Z51">
        <f>HYPERLINK("https://klasma.github.io/Logging_0781/fåglar/A 13460-2023 prioriterade fågelarter.docx", "A 13460-2023")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46073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46073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46073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46073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46073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50271-2021</t>
        </is>
      </c>
      <c r="B71" s="1" t="n">
        <v>44459</v>
      </c>
      <c r="C71" s="1" t="n">
        <v>46073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46073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46073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37481-2022</t>
        </is>
      </c>
      <c r="B75" s="1" t="n">
        <v>44809.54884259259</v>
      </c>
      <c r="C75" s="1" t="n">
        <v>46073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23634-2022</t>
        </is>
      </c>
      <c r="B76" s="1" t="n">
        <v>44721.65634259259</v>
      </c>
      <c r="C76" s="1" t="n">
        <v>46073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46073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46073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46073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46073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46073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46073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46073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46073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46073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46073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46073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10420-2022</t>
        </is>
      </c>
      <c r="B93" s="1" t="n">
        <v>44623.46204861111</v>
      </c>
      <c r="C93" s="1" t="n">
        <v>46073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46073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46073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46073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53309-2021</t>
        </is>
      </c>
      <c r="B99" s="1" t="n">
        <v>44468</v>
      </c>
      <c r="C99" s="1" t="n">
        <v>46073</v>
      </c>
      <c r="D99" t="inlineStr">
        <is>
          <t>KRONOBERGS LÄN</t>
        </is>
      </c>
      <c r="E99" t="inlineStr">
        <is>
          <t>LJUNGBY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46073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46073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46073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46073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46073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46073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46073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46073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46073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46073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46073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46073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46073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46073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46073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46073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12449-2021</t>
        </is>
      </c>
      <c r="B119" s="1" t="n">
        <v>44267</v>
      </c>
      <c r="C119" s="1" t="n">
        <v>46073</v>
      </c>
      <c r="D119" t="inlineStr">
        <is>
          <t>KRONOBERGS LÄN</t>
        </is>
      </c>
      <c r="E119" t="inlineStr">
        <is>
          <t>LJUNGBY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50270-2021</t>
        </is>
      </c>
      <c r="B120" s="1" t="n">
        <v>44459</v>
      </c>
      <c r="C120" s="1" t="n">
        <v>46073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45672-2021</t>
        </is>
      </c>
      <c r="B121" s="1" t="n">
        <v>44441</v>
      </c>
      <c r="C121" s="1" t="n">
        <v>46073</v>
      </c>
      <c r="D121" t="inlineStr">
        <is>
          <t>KRONOBERGS LÄN</t>
        </is>
      </c>
      <c r="E121" t="inlineStr">
        <is>
          <t>LJUNGBY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51387-2021</t>
        </is>
      </c>
      <c r="B122" s="1" t="n">
        <v>44461.69494212963</v>
      </c>
      <c r="C122" s="1" t="n">
        <v>46073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55916-2021</t>
        </is>
      </c>
      <c r="B123" s="1" t="n">
        <v>44476</v>
      </c>
      <c r="C123" s="1" t="n">
        <v>46073</v>
      </c>
      <c r="D123" t="inlineStr">
        <is>
          <t>KRONOBERGS LÄN</t>
        </is>
      </c>
      <c r="E123" t="inlineStr">
        <is>
          <t>LJUNGBY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60273-2021</t>
        </is>
      </c>
      <c r="B124" s="1" t="n">
        <v>44495.68931712963</v>
      </c>
      <c r="C124" s="1" t="n">
        <v>46073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35131-2021</t>
        </is>
      </c>
      <c r="B125" s="1" t="n">
        <v>44384.39226851852</v>
      </c>
      <c r="C125" s="1" t="n">
        <v>46073</v>
      </c>
      <c r="D125" t="inlineStr">
        <is>
          <t>KRONOBERGS LÄN</t>
        </is>
      </c>
      <c r="E125" t="inlineStr">
        <is>
          <t>LJUNGBY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34663-2021</t>
        </is>
      </c>
      <c r="B126" s="1" t="n">
        <v>44381</v>
      </c>
      <c r="C126" s="1" t="n">
        <v>46073</v>
      </c>
      <c r="D126" t="inlineStr">
        <is>
          <t>KRONOBERGS LÄN</t>
        </is>
      </c>
      <c r="E126" t="inlineStr">
        <is>
          <t>LJUNGBY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46073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46073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21892-2021</t>
        </is>
      </c>
      <c r="B129" s="1" t="n">
        <v>44322.68579861111</v>
      </c>
      <c r="C129" s="1" t="n">
        <v>46073</v>
      </c>
      <c r="D129" t="inlineStr">
        <is>
          <t>KRONOBERGS LÄN</t>
        </is>
      </c>
      <c r="E129" t="inlineStr">
        <is>
          <t>LJUNGBY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55838-2022</t>
        </is>
      </c>
      <c r="B130" s="1" t="n">
        <v>44888.69445601852</v>
      </c>
      <c r="C130" s="1" t="n">
        <v>46073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46073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46073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46073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46073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46073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46073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46073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46073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46073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37649-2022</t>
        </is>
      </c>
      <c r="B143" s="1" t="n">
        <v>44810.40475694444</v>
      </c>
      <c r="C143" s="1" t="n">
        <v>46073</v>
      </c>
      <c r="D143" t="inlineStr">
        <is>
          <t>KRONOBERGS LÄN</t>
        </is>
      </c>
      <c r="E143" t="inlineStr">
        <is>
          <t>LJUNGBY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46073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46073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46073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46073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46073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46073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46073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46073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46073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46073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46073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46073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46073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46073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46073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46073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46073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46073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46073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46073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46073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46073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46073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37720-2022</t>
        </is>
      </c>
      <c r="B169" s="1" t="n">
        <v>44810</v>
      </c>
      <c r="C169" s="1" t="n">
        <v>46073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40087-2022</t>
        </is>
      </c>
      <c r="B170" s="1" t="n">
        <v>44820.47135416666</v>
      </c>
      <c r="C170" s="1" t="n">
        <v>46073</v>
      </c>
      <c r="D170" t="inlineStr">
        <is>
          <t>KRONOBERGS LÄN</t>
        </is>
      </c>
      <c r="E170" t="inlineStr">
        <is>
          <t>LJUNGBY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13999-2021</t>
        </is>
      </c>
      <c r="B171" s="1" t="n">
        <v>44277.60974537037</v>
      </c>
      <c r="C171" s="1" t="n">
        <v>46073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39895-2021</t>
        </is>
      </c>
      <c r="B172" s="1" t="n">
        <v>44417.77873842593</v>
      </c>
      <c r="C172" s="1" t="n">
        <v>46073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46073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46073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14695-2021</t>
        </is>
      </c>
      <c r="B175" s="1" t="n">
        <v>44280</v>
      </c>
      <c r="C175" s="1" t="n">
        <v>46073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46073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46073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46073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37209-2022</t>
        </is>
      </c>
      <c r="B179" s="1" t="n">
        <v>44806</v>
      </c>
      <c r="C179" s="1" t="n">
        <v>46073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22119-2022</t>
        </is>
      </c>
      <c r="B180" s="1" t="n">
        <v>44712.30428240741</v>
      </c>
      <c r="C180" s="1" t="n">
        <v>46073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7273-2022</t>
        </is>
      </c>
      <c r="B181" s="1" t="n">
        <v>44606</v>
      </c>
      <c r="C181" s="1" t="n">
        <v>46073</v>
      </c>
      <c r="D181" t="inlineStr">
        <is>
          <t>KRONOBERGS LÄN</t>
        </is>
      </c>
      <c r="E181" t="inlineStr">
        <is>
          <t>LJUNGBY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37360-2022</t>
        </is>
      </c>
      <c r="B182" s="1" t="n">
        <v>44809.39019675926</v>
      </c>
      <c r="C182" s="1" t="n">
        <v>46073</v>
      </c>
      <c r="D182" t="inlineStr">
        <is>
          <t>KRONOBERGS LÄN</t>
        </is>
      </c>
      <c r="E182" t="inlineStr">
        <is>
          <t>LJUNGBY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46073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46073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46073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46073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10927-2023</t>
        </is>
      </c>
      <c r="B187" s="1" t="n">
        <v>44991.51193287037</v>
      </c>
      <c r="C187" s="1" t="n">
        <v>46073</v>
      </c>
      <c r="D187" t="inlineStr">
        <is>
          <t>KRONOBERGS LÄN</t>
        </is>
      </c>
      <c r="E187" t="inlineStr">
        <is>
          <t>LJUNGBY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10929-2023</t>
        </is>
      </c>
      <c r="B188" s="1" t="n">
        <v>44991</v>
      </c>
      <c r="C188" s="1" t="n">
        <v>46073</v>
      </c>
      <c r="D188" t="inlineStr">
        <is>
          <t>KRONOBERGS LÄN</t>
        </is>
      </c>
      <c r="E188" t="inlineStr">
        <is>
          <t>LJUNGBY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39730-2022</t>
        </is>
      </c>
      <c r="B189" s="1" t="n">
        <v>44819.34596064815</v>
      </c>
      <c r="C189" s="1" t="n">
        <v>46073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37335-2022</t>
        </is>
      </c>
      <c r="B190" s="1" t="n">
        <v>44809</v>
      </c>
      <c r="C190" s="1" t="n">
        <v>46073</v>
      </c>
      <c r="D190" t="inlineStr">
        <is>
          <t>KRONOBERGS LÄN</t>
        </is>
      </c>
      <c r="E190" t="inlineStr">
        <is>
          <t>LJUNGBY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13223-2025</t>
        </is>
      </c>
      <c r="B191" s="1" t="n">
        <v>45735.45677083333</v>
      </c>
      <c r="C191" s="1" t="n">
        <v>46073</v>
      </c>
      <c r="D191" t="inlineStr">
        <is>
          <t>KRONOBERGS LÄN</t>
        </is>
      </c>
      <c r="E191" t="inlineStr">
        <is>
          <t>LJUNGBY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3875-2025</t>
        </is>
      </c>
      <c r="B192" s="1" t="n">
        <v>45684.34170138889</v>
      </c>
      <c r="C192" s="1" t="n">
        <v>46073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3876-2025</t>
        </is>
      </c>
      <c r="B193" s="1" t="n">
        <v>45684.34384259259</v>
      </c>
      <c r="C193" s="1" t="n">
        <v>46073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19120-2023</t>
        </is>
      </c>
      <c r="B194" s="1" t="n">
        <v>45048</v>
      </c>
      <c r="C194" s="1" t="n">
        <v>46073</v>
      </c>
      <c r="D194" t="inlineStr">
        <is>
          <t>KRONOBERGS LÄN</t>
        </is>
      </c>
      <c r="E194" t="inlineStr">
        <is>
          <t>LJUNGBY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5642-2024</t>
        </is>
      </c>
      <c r="B195" s="1" t="n">
        <v>45334</v>
      </c>
      <c r="C195" s="1" t="n">
        <v>46073</v>
      </c>
      <c r="D195" t="inlineStr">
        <is>
          <t>KRONOBERGS LÄN</t>
        </is>
      </c>
      <c r="E195" t="inlineStr">
        <is>
          <t>LJUNGBY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30764-2022</t>
        </is>
      </c>
      <c r="B196" s="1" t="n">
        <v>44764</v>
      </c>
      <c r="C196" s="1" t="n">
        <v>46073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43757-2023</t>
        </is>
      </c>
      <c r="B197" s="1" t="n">
        <v>45187.48282407408</v>
      </c>
      <c r="C197" s="1" t="n">
        <v>46073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43833-2023</t>
        </is>
      </c>
      <c r="B198" s="1" t="n">
        <v>45187</v>
      </c>
      <c r="C198" s="1" t="n">
        <v>46073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62861-2023</t>
        </is>
      </c>
      <c r="B199" s="1" t="n">
        <v>45272</v>
      </c>
      <c r="C199" s="1" t="n">
        <v>46073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39091-2023</t>
        </is>
      </c>
      <c r="B200" s="1" t="n">
        <v>45164</v>
      </c>
      <c r="C200" s="1" t="n">
        <v>46073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46073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63354-2021</t>
        </is>
      </c>
      <c r="B202" s="1" t="n">
        <v>44508</v>
      </c>
      <c r="C202" s="1" t="n">
        <v>46073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3240-2025</t>
        </is>
      </c>
      <c r="B203" s="1" t="n">
        <v>45679.49804398148</v>
      </c>
      <c r="C203" s="1" t="n">
        <v>46073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8074-2025</t>
        </is>
      </c>
      <c r="B204" s="1" t="n">
        <v>45707.64956018519</v>
      </c>
      <c r="C204" s="1" t="n">
        <v>46073</v>
      </c>
      <c r="D204" t="inlineStr">
        <is>
          <t>KRONOBERGS LÄN</t>
        </is>
      </c>
      <c r="E204" t="inlineStr">
        <is>
          <t>LJUNGBY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8082-2025</t>
        </is>
      </c>
      <c r="B205" s="1" t="n">
        <v>45707.66369212963</v>
      </c>
      <c r="C205" s="1" t="n">
        <v>46073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9029-2025</t>
        </is>
      </c>
      <c r="B206" s="1" t="n">
        <v>45713</v>
      </c>
      <c r="C206" s="1" t="n">
        <v>46073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22087-2023</t>
        </is>
      </c>
      <c r="B207" s="1" t="n">
        <v>45069.48967592593</v>
      </c>
      <c r="C207" s="1" t="n">
        <v>46073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15974-2025</t>
        </is>
      </c>
      <c r="B208" s="1" t="n">
        <v>45749.56019675926</v>
      </c>
      <c r="C208" s="1" t="n">
        <v>46073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12513-2025</t>
        </is>
      </c>
      <c r="B209" s="1" t="n">
        <v>45730.6487037037</v>
      </c>
      <c r="C209" s="1" t="n">
        <v>46073</v>
      </c>
      <c r="D209" t="inlineStr">
        <is>
          <t>KRONOBERGS LÄN</t>
        </is>
      </c>
      <c r="E209" t="inlineStr">
        <is>
          <t>LJUNGBY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21406-2024</t>
        </is>
      </c>
      <c r="B210" s="1" t="n">
        <v>45441</v>
      </c>
      <c r="C210" s="1" t="n">
        <v>46073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64358-2023</t>
        </is>
      </c>
      <c r="B211" s="1" t="n">
        <v>45280</v>
      </c>
      <c r="C211" s="1" t="n">
        <v>46073</v>
      </c>
      <c r="D211" t="inlineStr">
        <is>
          <t>KRONOBERGS LÄN</t>
        </is>
      </c>
      <c r="E211" t="inlineStr">
        <is>
          <t>LJUNGBY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38695-2025</t>
        </is>
      </c>
      <c r="B212" s="1" t="n">
        <v>45884.73457175926</v>
      </c>
      <c r="C212" s="1" t="n">
        <v>46073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57952-2022</t>
        </is>
      </c>
      <c r="B213" s="1" t="n">
        <v>44900</v>
      </c>
      <c r="C213" s="1" t="n">
        <v>46073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50896-2022</t>
        </is>
      </c>
      <c r="B214" s="1" t="n">
        <v>44867</v>
      </c>
      <c r="C214" s="1" t="n">
        <v>46073</v>
      </c>
      <c r="D214" t="inlineStr">
        <is>
          <t>KRONOBERGS LÄN</t>
        </is>
      </c>
      <c r="E214" t="inlineStr">
        <is>
          <t>LJUNGBY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63539-2023</t>
        </is>
      </c>
      <c r="B215" s="1" t="n">
        <v>45275.30907407407</v>
      </c>
      <c r="C215" s="1" t="n">
        <v>46073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15581-2025</t>
        </is>
      </c>
      <c r="B216" s="1" t="n">
        <v>45747.79938657407</v>
      </c>
      <c r="C216" s="1" t="n">
        <v>46073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59681-2022</t>
        </is>
      </c>
      <c r="B217" s="1" t="n">
        <v>44908</v>
      </c>
      <c r="C217" s="1" t="n">
        <v>46073</v>
      </c>
      <c r="D217" t="inlineStr">
        <is>
          <t>KRONOBERGS LÄN</t>
        </is>
      </c>
      <c r="E217" t="inlineStr">
        <is>
          <t>LJUNGBY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59696-2022</t>
        </is>
      </c>
      <c r="B218" s="1" t="n">
        <v>44908</v>
      </c>
      <c r="C218" s="1" t="n">
        <v>46073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40963-2022</t>
        </is>
      </c>
      <c r="B219" s="1" t="n">
        <v>44825.46571759259</v>
      </c>
      <c r="C219" s="1" t="n">
        <v>46073</v>
      </c>
      <c r="D219" t="inlineStr">
        <is>
          <t>KRONOBERGS LÄN</t>
        </is>
      </c>
      <c r="E219" t="inlineStr">
        <is>
          <t>LJUNGBY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4336-2024</t>
        </is>
      </c>
      <c r="B220" s="1" t="n">
        <v>45324.71243055556</v>
      </c>
      <c r="C220" s="1" t="n">
        <v>46073</v>
      </c>
      <c r="D220" t="inlineStr">
        <is>
          <t>KRONOBERGS LÄN</t>
        </is>
      </c>
      <c r="E220" t="inlineStr">
        <is>
          <t>LJUNGBY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42686-2023</t>
        </is>
      </c>
      <c r="B221" s="1" t="n">
        <v>45181.58791666666</v>
      </c>
      <c r="C221" s="1" t="n">
        <v>46073</v>
      </c>
      <c r="D221" t="inlineStr">
        <is>
          <t>KRONOBERGS LÄN</t>
        </is>
      </c>
      <c r="E221" t="inlineStr">
        <is>
          <t>LJUNGBY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20607-2025</t>
        </is>
      </c>
      <c r="B222" s="1" t="n">
        <v>45775.87377314815</v>
      </c>
      <c r="C222" s="1" t="n">
        <v>46073</v>
      </c>
      <c r="D222" t="inlineStr">
        <is>
          <t>KRONOBERGS LÄN</t>
        </is>
      </c>
      <c r="E222" t="inlineStr">
        <is>
          <t>LJUNGBY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60607-2023</t>
        </is>
      </c>
      <c r="B223" s="1" t="n">
        <v>45260</v>
      </c>
      <c r="C223" s="1" t="n">
        <v>46073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25391-2023</t>
        </is>
      </c>
      <c r="B224" s="1" t="n">
        <v>45089</v>
      </c>
      <c r="C224" s="1" t="n">
        <v>46073</v>
      </c>
      <c r="D224" t="inlineStr">
        <is>
          <t>KRONOBERGS LÄN</t>
        </is>
      </c>
      <c r="E224" t="inlineStr">
        <is>
          <t>LJUNGBY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57206-2024</t>
        </is>
      </c>
      <c r="B225" s="1" t="n">
        <v>45629</v>
      </c>
      <c r="C225" s="1" t="n">
        <v>46073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25039-2023</t>
        </is>
      </c>
      <c r="B226" s="1" t="n">
        <v>45085.93778935185</v>
      </c>
      <c r="C226" s="1" t="n">
        <v>46073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36373-2024</t>
        </is>
      </c>
      <c r="B227" s="1" t="n">
        <v>45534.67689814815</v>
      </c>
      <c r="C227" s="1" t="n">
        <v>46073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20608-2025</t>
        </is>
      </c>
      <c r="B228" s="1" t="n">
        <v>45775.87576388889</v>
      </c>
      <c r="C228" s="1" t="n">
        <v>46073</v>
      </c>
      <c r="D228" t="inlineStr">
        <is>
          <t>KRONOBERGS LÄN</t>
        </is>
      </c>
      <c r="E228" t="inlineStr">
        <is>
          <t>LJUNGBY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21176-2024</t>
        </is>
      </c>
      <c r="B229" s="1" t="n">
        <v>45440.4658449074</v>
      </c>
      <c r="C229" s="1" t="n">
        <v>46073</v>
      </c>
      <c r="D229" t="inlineStr">
        <is>
          <t>KRONOBERGS LÄN</t>
        </is>
      </c>
      <c r="E229" t="inlineStr">
        <is>
          <t>LJUNGBY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21421-2024</t>
        </is>
      </c>
      <c r="B230" s="1" t="n">
        <v>45441</v>
      </c>
      <c r="C230" s="1" t="n">
        <v>46073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13039-2025</t>
        </is>
      </c>
      <c r="B231" s="1" t="n">
        <v>45734</v>
      </c>
      <c r="C231" s="1" t="n">
        <v>46073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7269-2025</t>
        </is>
      </c>
      <c r="B232" s="1" t="n">
        <v>45702.6033912037</v>
      </c>
      <c r="C232" s="1" t="n">
        <v>46073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8245-2025</t>
        </is>
      </c>
      <c r="B233" s="1" t="n">
        <v>45708.48537037037</v>
      </c>
      <c r="C233" s="1" t="n">
        <v>46073</v>
      </c>
      <c r="D233" t="inlineStr">
        <is>
          <t>KRONOBERGS LÄN</t>
        </is>
      </c>
      <c r="E233" t="inlineStr">
        <is>
          <t>LJUNGBY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18933-2025</t>
        </is>
      </c>
      <c r="B234" s="1" t="n">
        <v>45764.48869212963</v>
      </c>
      <c r="C234" s="1" t="n">
        <v>46073</v>
      </c>
      <c r="D234" t="inlineStr">
        <is>
          <t>KRONOBERGS LÄN</t>
        </is>
      </c>
      <c r="E234" t="inlineStr">
        <is>
          <t>LJUNGBY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21119-2025</t>
        </is>
      </c>
      <c r="B235" s="1" t="n">
        <v>45777.73621527778</v>
      </c>
      <c r="C235" s="1" t="n">
        <v>46073</v>
      </c>
      <c r="D235" t="inlineStr">
        <is>
          <t>KRONOBERGS LÄN</t>
        </is>
      </c>
      <c r="E235" t="inlineStr">
        <is>
          <t>LJUNGBY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226-2023</t>
        </is>
      </c>
      <c r="B236" s="1" t="n">
        <v>44928</v>
      </c>
      <c r="C236" s="1" t="n">
        <v>46073</v>
      </c>
      <c r="D236" t="inlineStr">
        <is>
          <t>KRONOBERGS LÄN</t>
        </is>
      </c>
      <c r="E236" t="inlineStr">
        <is>
          <t>LJUNGBY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21115-2025</t>
        </is>
      </c>
      <c r="B237" s="1" t="n">
        <v>45777.72737268519</v>
      </c>
      <c r="C237" s="1" t="n">
        <v>46073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5368-2023</t>
        </is>
      </c>
      <c r="B238" s="1" t="n">
        <v>44959</v>
      </c>
      <c r="C238" s="1" t="n">
        <v>46073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46902-2021</t>
        </is>
      </c>
      <c r="B239" s="1" t="n">
        <v>44446</v>
      </c>
      <c r="C239" s="1" t="n">
        <v>46073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49077-2024</t>
        </is>
      </c>
      <c r="B240" s="1" t="n">
        <v>45594.62287037037</v>
      </c>
      <c r="C240" s="1" t="n">
        <v>46073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28645-2021</t>
        </is>
      </c>
      <c r="B241" s="1" t="n">
        <v>44357.34482638889</v>
      </c>
      <c r="C241" s="1" t="n">
        <v>46073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21317-2025</t>
        </is>
      </c>
      <c r="B242" s="1" t="n">
        <v>45782.33971064815</v>
      </c>
      <c r="C242" s="1" t="n">
        <v>46073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9531-2025</t>
        </is>
      </c>
      <c r="B243" s="1" t="n">
        <v>45715.5681712963</v>
      </c>
      <c r="C243" s="1" t="n">
        <v>46073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15838-2025</t>
        </is>
      </c>
      <c r="B244" s="1" t="n">
        <v>45748.86240740741</v>
      </c>
      <c r="C244" s="1" t="n">
        <v>46073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15979-2025</t>
        </is>
      </c>
      <c r="B245" s="1" t="n">
        <v>45749.56623842593</v>
      </c>
      <c r="C245" s="1" t="n">
        <v>46073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38999-2025</t>
        </is>
      </c>
      <c r="B246" s="1" t="n">
        <v>45888.34261574074</v>
      </c>
      <c r="C246" s="1" t="n">
        <v>46073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41421-2021</t>
        </is>
      </c>
      <c r="B247" s="1" t="n">
        <v>44424</v>
      </c>
      <c r="C247" s="1" t="n">
        <v>46073</v>
      </c>
      <c r="D247" t="inlineStr">
        <is>
          <t>KRONOBERGS LÄN</t>
        </is>
      </c>
      <c r="E247" t="inlineStr">
        <is>
          <t>LJUNGBY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37721-2022</t>
        </is>
      </c>
      <c r="B248" s="1" t="n">
        <v>44810.56070601852</v>
      </c>
      <c r="C248" s="1" t="n">
        <v>46073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801-2024</t>
        </is>
      </c>
      <c r="B249" s="1" t="n">
        <v>45300</v>
      </c>
      <c r="C249" s="1" t="n">
        <v>46073</v>
      </c>
      <c r="D249" t="inlineStr">
        <is>
          <t>KRONOBERGS LÄN</t>
        </is>
      </c>
      <c r="E249" t="inlineStr">
        <is>
          <t>LJUNGBY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17909-2025</t>
        </is>
      </c>
      <c r="B250" s="1" t="n">
        <v>45758.73298611111</v>
      </c>
      <c r="C250" s="1" t="n">
        <v>46073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37701-2022</t>
        </is>
      </c>
      <c r="B251" s="1" t="n">
        <v>44810.52567129629</v>
      </c>
      <c r="C251" s="1" t="n">
        <v>46073</v>
      </c>
      <c r="D251" t="inlineStr">
        <is>
          <t>KRONOBERGS LÄN</t>
        </is>
      </c>
      <c r="E251" t="inlineStr">
        <is>
          <t>LJUNGBY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21805-2025</t>
        </is>
      </c>
      <c r="B252" s="1" t="n">
        <v>45783.7002662037</v>
      </c>
      <c r="C252" s="1" t="n">
        <v>46073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9526-2025</t>
        </is>
      </c>
      <c r="B253" s="1" t="n">
        <v>45715.56667824074</v>
      </c>
      <c r="C253" s="1" t="n">
        <v>46073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21807-2025</t>
        </is>
      </c>
      <c r="B254" s="1" t="n">
        <v>45783.70811342593</v>
      </c>
      <c r="C254" s="1" t="n">
        <v>46073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21809-2025</t>
        </is>
      </c>
      <c r="B255" s="1" t="n">
        <v>45783.71136574074</v>
      </c>
      <c r="C255" s="1" t="n">
        <v>46073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39133-2025</t>
        </is>
      </c>
      <c r="B256" s="1" t="n">
        <v>45888.58818287037</v>
      </c>
      <c r="C256" s="1" t="n">
        <v>46073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21813-2025</t>
        </is>
      </c>
      <c r="B257" s="1" t="n">
        <v>45783.71869212963</v>
      </c>
      <c r="C257" s="1" t="n">
        <v>46073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9523-2025</t>
        </is>
      </c>
      <c r="B258" s="1" t="n">
        <v>45715</v>
      </c>
      <c r="C258" s="1" t="n">
        <v>46073</v>
      </c>
      <c r="D258" t="inlineStr">
        <is>
          <t>KRONOBERGS LÄN</t>
        </is>
      </c>
      <c r="E258" t="inlineStr">
        <is>
          <t>LJUNGBY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21816-2025</t>
        </is>
      </c>
      <c r="B259" s="1" t="n">
        <v>45783.7308912037</v>
      </c>
      <c r="C259" s="1" t="n">
        <v>46073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20502-2025</t>
        </is>
      </c>
      <c r="B260" s="1" t="n">
        <v>45775.58704861111</v>
      </c>
      <c r="C260" s="1" t="n">
        <v>46073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38148-2023</t>
        </is>
      </c>
      <c r="B261" s="1" t="n">
        <v>45161</v>
      </c>
      <c r="C261" s="1" t="n">
        <v>46073</v>
      </c>
      <c r="D261" t="inlineStr">
        <is>
          <t>KRONOBERGS LÄN</t>
        </is>
      </c>
      <c r="E261" t="inlineStr">
        <is>
          <t>LJUNGBY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15673-2023</t>
        </is>
      </c>
      <c r="B262" s="1" t="n">
        <v>45021</v>
      </c>
      <c r="C262" s="1" t="n">
        <v>46073</v>
      </c>
      <c r="D262" t="inlineStr">
        <is>
          <t>KRONOBERGS LÄN</t>
        </is>
      </c>
      <c r="E262" t="inlineStr">
        <is>
          <t>LJUNGBY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55752-2023</t>
        </is>
      </c>
      <c r="B263" s="1" t="n">
        <v>45239</v>
      </c>
      <c r="C263" s="1" t="n">
        <v>46073</v>
      </c>
      <c r="D263" t="inlineStr">
        <is>
          <t>KRONOBERGS LÄN</t>
        </is>
      </c>
      <c r="E263" t="inlineStr">
        <is>
          <t>LJUNGBY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21819-2025</t>
        </is>
      </c>
      <c r="B264" s="1" t="n">
        <v>45783.74034722222</v>
      </c>
      <c r="C264" s="1" t="n">
        <v>46073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22012-2025</t>
        </is>
      </c>
      <c r="B265" s="1" t="n">
        <v>45784.74020833334</v>
      </c>
      <c r="C265" s="1" t="n">
        <v>46073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11686-2024</t>
        </is>
      </c>
      <c r="B266" s="1" t="n">
        <v>45373.59099537037</v>
      </c>
      <c r="C266" s="1" t="n">
        <v>46073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39463-2025</t>
        </is>
      </c>
      <c r="B267" s="1" t="n">
        <v>45889.93328703703</v>
      </c>
      <c r="C267" s="1" t="n">
        <v>46073</v>
      </c>
      <c r="D267" t="inlineStr">
        <is>
          <t>KRONOBERGS LÄN</t>
        </is>
      </c>
      <c r="E267" t="inlineStr">
        <is>
          <t>LJUNGBY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57133-2022</t>
        </is>
      </c>
      <c r="B268" s="1" t="n">
        <v>44895</v>
      </c>
      <c r="C268" s="1" t="n">
        <v>46073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57144-2022</t>
        </is>
      </c>
      <c r="B269" s="1" t="n">
        <v>44895</v>
      </c>
      <c r="C269" s="1" t="n">
        <v>46073</v>
      </c>
      <c r="D269" t="inlineStr">
        <is>
          <t>KRONOBERGS LÄN</t>
        </is>
      </c>
      <c r="E269" t="inlineStr">
        <is>
          <t>LJUNGBY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57157-2022</t>
        </is>
      </c>
      <c r="B270" s="1" t="n">
        <v>44895.58759259259</v>
      </c>
      <c r="C270" s="1" t="n">
        <v>46073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8251-2025</t>
        </is>
      </c>
      <c r="B271" s="1" t="n">
        <v>45708.4921412037</v>
      </c>
      <c r="C271" s="1" t="n">
        <v>46073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39497-2025</t>
        </is>
      </c>
      <c r="B272" s="1" t="n">
        <v>45890.37820601852</v>
      </c>
      <c r="C272" s="1" t="n">
        <v>46073</v>
      </c>
      <c r="D272" t="inlineStr">
        <is>
          <t>KRONOBERGS LÄN</t>
        </is>
      </c>
      <c r="E272" t="inlineStr">
        <is>
          <t>LJUNGBY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21039-2023</t>
        </is>
      </c>
      <c r="B273" s="1" t="n">
        <v>45061</v>
      </c>
      <c r="C273" s="1" t="n">
        <v>46073</v>
      </c>
      <c r="D273" t="inlineStr">
        <is>
          <t>KRONOBERGS LÄN</t>
        </is>
      </c>
      <c r="E273" t="inlineStr">
        <is>
          <t>LJUNGBY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32393-2025</t>
        </is>
      </c>
      <c r="B274" s="1" t="n">
        <v>45837.91177083334</v>
      </c>
      <c r="C274" s="1" t="n">
        <v>46073</v>
      </c>
      <c r="D274" t="inlineStr">
        <is>
          <t>KRONOBERGS LÄN</t>
        </is>
      </c>
      <c r="E274" t="inlineStr">
        <is>
          <t>LJUNGBY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32346-2024</t>
        </is>
      </c>
      <c r="B275" s="1" t="n">
        <v>45512.53300925926</v>
      </c>
      <c r="C275" s="1" t="n">
        <v>46073</v>
      </c>
      <c r="D275" t="inlineStr">
        <is>
          <t>KRONOBERGS LÄN</t>
        </is>
      </c>
      <c r="E275" t="inlineStr">
        <is>
          <t>LJUNGBY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3782-2025</t>
        </is>
      </c>
      <c r="B276" s="1" t="n">
        <v>45681.62265046296</v>
      </c>
      <c r="C276" s="1" t="n">
        <v>46073</v>
      </c>
      <c r="D276" t="inlineStr">
        <is>
          <t>KRONOBERGS LÄN</t>
        </is>
      </c>
      <c r="E276" t="inlineStr">
        <is>
          <t>LJUNGBY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49339-2025</t>
        </is>
      </c>
      <c r="B277" s="1" t="n">
        <v>45938.5928587963</v>
      </c>
      <c r="C277" s="1" t="n">
        <v>46073</v>
      </c>
      <c r="D277" t="inlineStr">
        <is>
          <t>KRONOBERGS LÄN</t>
        </is>
      </c>
      <c r="E277" t="inlineStr">
        <is>
          <t>LJUNGBY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56799-2024</t>
        </is>
      </c>
      <c r="B278" s="1" t="n">
        <v>45628.46613425926</v>
      </c>
      <c r="C278" s="1" t="n">
        <v>46073</v>
      </c>
      <c r="D278" t="inlineStr">
        <is>
          <t>KRONOBERGS LÄN</t>
        </is>
      </c>
      <c r="E278" t="inlineStr">
        <is>
          <t>LJUNGBY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39913-2025</t>
        </is>
      </c>
      <c r="B279" s="1" t="n">
        <v>45891.65295138889</v>
      </c>
      <c r="C279" s="1" t="n">
        <v>46073</v>
      </c>
      <c r="D279" t="inlineStr">
        <is>
          <t>KRONOBERGS LÄN</t>
        </is>
      </c>
      <c r="E279" t="inlineStr">
        <is>
          <t>LJUNGBY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47427-2023</t>
        </is>
      </c>
      <c r="B280" s="1" t="n">
        <v>45197</v>
      </c>
      <c r="C280" s="1" t="n">
        <v>46073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39912-2025</t>
        </is>
      </c>
      <c r="B281" s="1" t="n">
        <v>45891.65096064815</v>
      </c>
      <c r="C281" s="1" t="n">
        <v>46073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11356-2024</t>
        </is>
      </c>
      <c r="B282" s="1" t="n">
        <v>45372.36653935185</v>
      </c>
      <c r="C282" s="1" t="n">
        <v>46073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39909-2025</t>
        </is>
      </c>
      <c r="B283" s="1" t="n">
        <v>45891.64818287037</v>
      </c>
      <c r="C283" s="1" t="n">
        <v>46073</v>
      </c>
      <c r="D283" t="inlineStr">
        <is>
          <t>KRONOBERGS LÄN</t>
        </is>
      </c>
      <c r="E283" t="inlineStr">
        <is>
          <t>LJUNGBY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33114-2023</t>
        </is>
      </c>
      <c r="B284" s="1" t="n">
        <v>45126</v>
      </c>
      <c r="C284" s="1" t="n">
        <v>46073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73549-2021</t>
        </is>
      </c>
      <c r="B285" s="1" t="n">
        <v>44551</v>
      </c>
      <c r="C285" s="1" t="n">
        <v>46073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32121-2023</t>
        </is>
      </c>
      <c r="B286" s="1" t="n">
        <v>45119.63947916667</v>
      </c>
      <c r="C286" s="1" t="n">
        <v>46073</v>
      </c>
      <c r="D286" t="inlineStr">
        <is>
          <t>KRONOBERGS LÄN</t>
        </is>
      </c>
      <c r="E286" t="inlineStr">
        <is>
          <t>LJUNGBY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39976-2025</t>
        </is>
      </c>
      <c r="B287" s="1" t="n">
        <v>45893.60962962963</v>
      </c>
      <c r="C287" s="1" t="n">
        <v>46073</v>
      </c>
      <c r="D287" t="inlineStr">
        <is>
          <t>KRONOBERGS LÄN</t>
        </is>
      </c>
      <c r="E287" t="inlineStr">
        <is>
          <t>LJUNGBY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3081-2023</t>
        </is>
      </c>
      <c r="B288" s="1" t="n">
        <v>44946.42413194444</v>
      </c>
      <c r="C288" s="1" t="n">
        <v>46073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13020-2025</t>
        </is>
      </c>
      <c r="B289" s="1" t="n">
        <v>45734.55042824074</v>
      </c>
      <c r="C289" s="1" t="n">
        <v>46073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30103-2025</t>
        </is>
      </c>
      <c r="B290" s="1" t="n">
        <v>45826</v>
      </c>
      <c r="C290" s="1" t="n">
        <v>46073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10225-2025</t>
        </is>
      </c>
      <c r="B291" s="1" t="n">
        <v>45720.3175462963</v>
      </c>
      <c r="C291" s="1" t="n">
        <v>46073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40415-2025</t>
        </is>
      </c>
      <c r="B292" s="1" t="n">
        <v>45895.57550925926</v>
      </c>
      <c r="C292" s="1" t="n">
        <v>46073</v>
      </c>
      <c r="D292" t="inlineStr">
        <is>
          <t>KRONOBERGS LÄN</t>
        </is>
      </c>
      <c r="E292" t="inlineStr">
        <is>
          <t>LJUNGBY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22817-2025</t>
        </is>
      </c>
      <c r="B293" s="1" t="n">
        <v>45789.70107638889</v>
      </c>
      <c r="C293" s="1" t="n">
        <v>46073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40309-2025</t>
        </is>
      </c>
      <c r="B294" s="1" t="n">
        <v>45895</v>
      </c>
      <c r="C294" s="1" t="n">
        <v>46073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40312-2025</t>
        </is>
      </c>
      <c r="B295" s="1" t="n">
        <v>45895.41686342593</v>
      </c>
      <c r="C295" s="1" t="n">
        <v>46073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24884-2024</t>
        </is>
      </c>
      <c r="B296" s="1" t="n">
        <v>45461</v>
      </c>
      <c r="C296" s="1" t="n">
        <v>46073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40394-2025</t>
        </is>
      </c>
      <c r="B297" s="1" t="n">
        <v>45895.55729166666</v>
      </c>
      <c r="C297" s="1" t="n">
        <v>46073</v>
      </c>
      <c r="D297" t="inlineStr">
        <is>
          <t>KRONOBERGS LÄN</t>
        </is>
      </c>
      <c r="E297" t="inlineStr">
        <is>
          <t>LJUNGBY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40323-2025</t>
        </is>
      </c>
      <c r="B298" s="1" t="n">
        <v>45895</v>
      </c>
      <c r="C298" s="1" t="n">
        <v>46073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40274-2025</t>
        </is>
      </c>
      <c r="B299" s="1" t="n">
        <v>45895.35368055556</v>
      </c>
      <c r="C299" s="1" t="n">
        <v>46073</v>
      </c>
      <c r="D299" t="inlineStr">
        <is>
          <t>KRONOBERGS LÄN</t>
        </is>
      </c>
      <c r="E299" t="inlineStr">
        <is>
          <t>LJUNGBY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49087-2025</t>
        </is>
      </c>
      <c r="B300" s="1" t="n">
        <v>45937.66888888889</v>
      </c>
      <c r="C300" s="1" t="n">
        <v>46073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32044-2024</t>
        </is>
      </c>
      <c r="B301" s="1" t="n">
        <v>45510.89385416666</v>
      </c>
      <c r="C301" s="1" t="n">
        <v>46073</v>
      </c>
      <c r="D301" t="inlineStr">
        <is>
          <t>KRONOBERGS LÄN</t>
        </is>
      </c>
      <c r="E301" t="inlineStr">
        <is>
          <t>LJUNGBY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40310-2025</t>
        </is>
      </c>
      <c r="B302" s="1" t="n">
        <v>45895</v>
      </c>
      <c r="C302" s="1" t="n">
        <v>46073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40311-2025</t>
        </is>
      </c>
      <c r="B303" s="1" t="n">
        <v>45895.41521990741</v>
      </c>
      <c r="C303" s="1" t="n">
        <v>46073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40320-2025</t>
        </is>
      </c>
      <c r="B304" s="1" t="n">
        <v>45895</v>
      </c>
      <c r="C304" s="1" t="n">
        <v>46073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3271-2024</t>
        </is>
      </c>
      <c r="B305" s="1" t="n">
        <v>45317</v>
      </c>
      <c r="C305" s="1" t="n">
        <v>46073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10224-2025</t>
        </is>
      </c>
      <c r="B306" s="1" t="n">
        <v>45720.31155092592</v>
      </c>
      <c r="C306" s="1" t="n">
        <v>46073</v>
      </c>
      <c r="D306" t="inlineStr">
        <is>
          <t>KRONOBERGS LÄN</t>
        </is>
      </c>
      <c r="E306" t="inlineStr">
        <is>
          <t>LJUNGBY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40307-2025</t>
        </is>
      </c>
      <c r="B307" s="1" t="n">
        <v>45895.41074074074</v>
      </c>
      <c r="C307" s="1" t="n">
        <v>46073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40329-2025</t>
        </is>
      </c>
      <c r="B308" s="1" t="n">
        <v>45895</v>
      </c>
      <c r="C308" s="1" t="n">
        <v>46073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54956-2023</t>
        </is>
      </c>
      <c r="B309" s="1" t="n">
        <v>45236</v>
      </c>
      <c r="C309" s="1" t="n">
        <v>46073</v>
      </c>
      <c r="D309" t="inlineStr">
        <is>
          <t>KRONOBERGS LÄN</t>
        </is>
      </c>
      <c r="E309" t="inlineStr">
        <is>
          <t>LJUNGBY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30778-2023</t>
        </is>
      </c>
      <c r="B310" s="1" t="n">
        <v>45112</v>
      </c>
      <c r="C310" s="1" t="n">
        <v>46073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41146-2025</t>
        </is>
      </c>
      <c r="B311" s="1" t="n">
        <v>45898.49733796297</v>
      </c>
      <c r="C311" s="1" t="n">
        <v>46073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17145-2025</t>
        </is>
      </c>
      <c r="B312" s="1" t="n">
        <v>45756.29003472222</v>
      </c>
      <c r="C312" s="1" t="n">
        <v>46073</v>
      </c>
      <c r="D312" t="inlineStr">
        <is>
          <t>KRONOBERGS LÄN</t>
        </is>
      </c>
      <c r="E312" t="inlineStr">
        <is>
          <t>LJUNGBY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40511-2022</t>
        </is>
      </c>
      <c r="B313" s="1" t="n">
        <v>44823.61398148148</v>
      </c>
      <c r="C313" s="1" t="n">
        <v>46073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39359-2023</t>
        </is>
      </c>
      <c r="B314" s="1" t="n">
        <v>45166.62002314815</v>
      </c>
      <c r="C314" s="1" t="n">
        <v>46073</v>
      </c>
      <c r="D314" t="inlineStr">
        <is>
          <t>KRONOBERGS LÄN</t>
        </is>
      </c>
      <c r="E314" t="inlineStr">
        <is>
          <t>LJUNGBY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4017-2024</t>
        </is>
      </c>
      <c r="B315" s="1" t="n">
        <v>45323</v>
      </c>
      <c r="C315" s="1" t="n">
        <v>46073</v>
      </c>
      <c r="D315" t="inlineStr">
        <is>
          <t>KRONOBERGS LÄN</t>
        </is>
      </c>
      <c r="E315" t="inlineStr">
        <is>
          <t>LJUNGBY</t>
        </is>
      </c>
      <c r="F315" t="inlineStr">
        <is>
          <t>Kommuner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56877-2024</t>
        </is>
      </c>
      <c r="B316" s="1" t="n">
        <v>45628.56518518519</v>
      </c>
      <c r="C316" s="1" t="n">
        <v>46073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40894-2025</t>
        </is>
      </c>
      <c r="B317" s="1" t="n">
        <v>45897.61160879629</v>
      </c>
      <c r="C317" s="1" t="n">
        <v>46073</v>
      </c>
      <c r="D317" t="inlineStr">
        <is>
          <t>KRONOBERGS LÄN</t>
        </is>
      </c>
      <c r="E317" t="inlineStr">
        <is>
          <t>LJUNGBY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32072-2023</t>
        </is>
      </c>
      <c r="B318" s="1" t="n">
        <v>45119.57798611111</v>
      </c>
      <c r="C318" s="1" t="n">
        <v>46073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23398-2025</t>
        </is>
      </c>
      <c r="B319" s="1" t="n">
        <v>45792.30664351852</v>
      </c>
      <c r="C319" s="1" t="n">
        <v>46073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35135-2021</t>
        </is>
      </c>
      <c r="B320" s="1" t="n">
        <v>44384.39820601852</v>
      </c>
      <c r="C320" s="1" t="n">
        <v>46073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23401-2025</t>
        </is>
      </c>
      <c r="B321" s="1" t="n">
        <v>45792.33170138889</v>
      </c>
      <c r="C321" s="1" t="n">
        <v>46073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41797-2025</t>
        </is>
      </c>
      <c r="B322" s="1" t="n">
        <v>45902.6025</v>
      </c>
      <c r="C322" s="1" t="n">
        <v>46073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27626-2023</t>
        </is>
      </c>
      <c r="B323" s="1" t="n">
        <v>45097</v>
      </c>
      <c r="C323" s="1" t="n">
        <v>46073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32042-2024</t>
        </is>
      </c>
      <c r="B324" s="1" t="n">
        <v>45510</v>
      </c>
      <c r="C324" s="1" t="n">
        <v>46073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41643-2025</t>
        </is>
      </c>
      <c r="B325" s="1" t="n">
        <v>45902.3184375</v>
      </c>
      <c r="C325" s="1" t="n">
        <v>46073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26875-2024</t>
        </is>
      </c>
      <c r="B326" s="1" t="n">
        <v>45470</v>
      </c>
      <c r="C326" s="1" t="n">
        <v>46073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12681-2025</t>
        </is>
      </c>
      <c r="B327" s="1" t="n">
        <v>45733</v>
      </c>
      <c r="C327" s="1" t="n">
        <v>46073</v>
      </c>
      <c r="D327" t="inlineStr">
        <is>
          <t>KRONOBERGS LÄN</t>
        </is>
      </c>
      <c r="E327" t="inlineStr">
        <is>
          <t>LJUNGBY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41818-2025</t>
        </is>
      </c>
      <c r="B328" s="1" t="n">
        <v>45902.66104166667</v>
      </c>
      <c r="C328" s="1" t="n">
        <v>46073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41798-2025</t>
        </is>
      </c>
      <c r="B329" s="1" t="n">
        <v>45902.60481481482</v>
      </c>
      <c r="C329" s="1" t="n">
        <v>46073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49082-2025</t>
        </is>
      </c>
      <c r="B330" s="1" t="n">
        <v>45937.66390046296</v>
      </c>
      <c r="C330" s="1" t="n">
        <v>46073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49083-2025</t>
        </is>
      </c>
      <c r="B331" s="1" t="n">
        <v>45937.66490740741</v>
      </c>
      <c r="C331" s="1" t="n">
        <v>46073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64003-2023</t>
        </is>
      </c>
      <c r="B332" s="1" t="n">
        <v>45278.88578703703</v>
      </c>
      <c r="C332" s="1" t="n">
        <v>46073</v>
      </c>
      <c r="D332" t="inlineStr">
        <is>
          <t>KRONOBERGS LÄN</t>
        </is>
      </c>
      <c r="E332" t="inlineStr">
        <is>
          <t>LJUNGBY</t>
        </is>
      </c>
      <c r="F332" t="inlineStr">
        <is>
          <t>Kyrkan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61592-2023</t>
        </is>
      </c>
      <c r="B333" s="1" t="n">
        <v>45265.48799768519</v>
      </c>
      <c r="C333" s="1" t="n">
        <v>46073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23960-2025</t>
        </is>
      </c>
      <c r="B334" s="1" t="n">
        <v>45796.36819444445</v>
      </c>
      <c r="C334" s="1" t="n">
        <v>46073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24080-2025</t>
        </is>
      </c>
      <c r="B335" s="1" t="n">
        <v>45796.55706018519</v>
      </c>
      <c r="C335" s="1" t="n">
        <v>46073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24089-2025</t>
        </is>
      </c>
      <c r="B336" s="1" t="n">
        <v>45796.56827546296</v>
      </c>
      <c r="C336" s="1" t="n">
        <v>46073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24108-2025</t>
        </is>
      </c>
      <c r="B337" s="1" t="n">
        <v>45796.60440972223</v>
      </c>
      <c r="C337" s="1" t="n">
        <v>46073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49127-2025</t>
        </is>
      </c>
      <c r="B338" s="1" t="n">
        <v>45937.87738425926</v>
      </c>
      <c r="C338" s="1" t="n">
        <v>46073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23980-2025</t>
        </is>
      </c>
      <c r="B339" s="1" t="n">
        <v>45796.38944444444</v>
      </c>
      <c r="C339" s="1" t="n">
        <v>46073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56936-2022</t>
        </is>
      </c>
      <c r="B340" s="1" t="n">
        <v>44894.63579861111</v>
      </c>
      <c r="C340" s="1" t="n">
        <v>46073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49833-2025</t>
        </is>
      </c>
      <c r="B341" s="1" t="n">
        <v>45940.45927083334</v>
      </c>
      <c r="C341" s="1" t="n">
        <v>46073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49541-2024</t>
        </is>
      </c>
      <c r="B342" s="1" t="n">
        <v>45596.44083333333</v>
      </c>
      <c r="C342" s="1" t="n">
        <v>46073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49832-2025</t>
        </is>
      </c>
      <c r="B343" s="1" t="n">
        <v>45940.45752314815</v>
      </c>
      <c r="C343" s="1" t="n">
        <v>46073</v>
      </c>
      <c r="D343" t="inlineStr">
        <is>
          <t>KRONOBERGS LÄN</t>
        </is>
      </c>
      <c r="E343" t="inlineStr">
        <is>
          <t>LJUNGBY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50241-2025</t>
        </is>
      </c>
      <c r="B344" s="1" t="n">
        <v>45943.86836805556</v>
      </c>
      <c r="C344" s="1" t="n">
        <v>46073</v>
      </c>
      <c r="D344" t="inlineStr">
        <is>
          <t>KRONOBERGS LÄN</t>
        </is>
      </c>
      <c r="E344" t="inlineStr">
        <is>
          <t>LJUNGBY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50581-2025</t>
        </is>
      </c>
      <c r="B345" s="1" t="n">
        <v>45945.5862037037</v>
      </c>
      <c r="C345" s="1" t="n">
        <v>46073</v>
      </c>
      <c r="D345" t="inlineStr">
        <is>
          <t>KRONOBERGS LÄN</t>
        </is>
      </c>
      <c r="E345" t="inlineStr">
        <is>
          <t>LJUNGBY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50592-2025</t>
        </is>
      </c>
      <c r="B346" s="1" t="n">
        <v>45945</v>
      </c>
      <c r="C346" s="1" t="n">
        <v>46073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50862-2025</t>
        </is>
      </c>
      <c r="B347" s="1" t="n">
        <v>45946.59506944445</v>
      </c>
      <c r="C347" s="1" t="n">
        <v>46073</v>
      </c>
      <c r="D347" t="inlineStr">
        <is>
          <t>KRONOBERGS LÄN</t>
        </is>
      </c>
      <c r="E347" t="inlineStr">
        <is>
          <t>LJUNGBY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23973-2025</t>
        </is>
      </c>
      <c r="B348" s="1" t="n">
        <v>45796.38582175926</v>
      </c>
      <c r="C348" s="1" t="n">
        <v>46073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41979-2025</t>
        </is>
      </c>
      <c r="B349" s="1" t="n">
        <v>45903.51604166667</v>
      </c>
      <c r="C349" s="1" t="n">
        <v>46073</v>
      </c>
      <c r="D349" t="inlineStr">
        <is>
          <t>KRONOBERGS LÄN</t>
        </is>
      </c>
      <c r="E349" t="inlineStr">
        <is>
          <t>LJUNGBY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42679-2025</t>
        </is>
      </c>
      <c r="B350" s="1" t="n">
        <v>45908.33508101852</v>
      </c>
      <c r="C350" s="1" t="n">
        <v>46073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42680-2025</t>
        </is>
      </c>
      <c r="B351" s="1" t="n">
        <v>45908.3394675926</v>
      </c>
      <c r="C351" s="1" t="n">
        <v>46073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55004-2022</t>
        </is>
      </c>
      <c r="B352" s="1" t="n">
        <v>44886.51197916667</v>
      </c>
      <c r="C352" s="1" t="n">
        <v>46073</v>
      </c>
      <c r="D352" t="inlineStr">
        <is>
          <t>KRONOBERGS LÄN</t>
        </is>
      </c>
      <c r="E352" t="inlineStr">
        <is>
          <t>LJUNGBY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46662-2022</t>
        </is>
      </c>
      <c r="B353" s="1" t="n">
        <v>44850</v>
      </c>
      <c r="C353" s="1" t="n">
        <v>46073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62862-2023</t>
        </is>
      </c>
      <c r="B354" s="1" t="n">
        <v>45272</v>
      </c>
      <c r="C354" s="1" t="n">
        <v>46073</v>
      </c>
      <c r="D354" t="inlineStr">
        <is>
          <t>KRONOBERGS LÄN</t>
        </is>
      </c>
      <c r="E354" t="inlineStr">
        <is>
          <t>LJUNGBY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23808-2025</t>
        </is>
      </c>
      <c r="B355" s="1" t="n">
        <v>45793.56537037037</v>
      </c>
      <c r="C355" s="1" t="n">
        <v>46073</v>
      </c>
      <c r="D355" t="inlineStr">
        <is>
          <t>KRONOBERGS LÄN</t>
        </is>
      </c>
      <c r="E355" t="inlineStr">
        <is>
          <t>LJUNGBY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24084-2025</t>
        </is>
      </c>
      <c r="B356" s="1" t="n">
        <v>45796.56221064815</v>
      </c>
      <c r="C356" s="1" t="n">
        <v>46073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6495-2024</t>
        </is>
      </c>
      <c r="B357" s="1" t="n">
        <v>45339.66177083334</v>
      </c>
      <c r="C357" s="1" t="n">
        <v>46073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29339-2024</t>
        </is>
      </c>
      <c r="B358" s="1" t="n">
        <v>45483</v>
      </c>
      <c r="C358" s="1" t="n">
        <v>46073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29342-2024</t>
        </is>
      </c>
      <c r="B359" s="1" t="n">
        <v>45483</v>
      </c>
      <c r="C359" s="1" t="n">
        <v>46073</v>
      </c>
      <c r="D359" t="inlineStr">
        <is>
          <t>KRONOBERGS LÄN</t>
        </is>
      </c>
      <c r="E359" t="inlineStr">
        <is>
          <t>LJUNGBY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31844-2024</t>
        </is>
      </c>
      <c r="B360" s="1" t="n">
        <v>45509</v>
      </c>
      <c r="C360" s="1" t="n">
        <v>46073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51347-2025</t>
        </is>
      </c>
      <c r="B361" s="1" t="n">
        <v>45950.43387731481</v>
      </c>
      <c r="C361" s="1" t="n">
        <v>46073</v>
      </c>
      <c r="D361" t="inlineStr">
        <is>
          <t>KRONOBERGS LÄN</t>
        </is>
      </c>
      <c r="E361" t="inlineStr">
        <is>
          <t>LJUNGBY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51481-2025</t>
        </is>
      </c>
      <c r="B362" s="1" t="n">
        <v>45950.62017361111</v>
      </c>
      <c r="C362" s="1" t="n">
        <v>46073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51296-2025</t>
        </is>
      </c>
      <c r="B363" s="1" t="n">
        <v>45950.35805555555</v>
      </c>
      <c r="C363" s="1" t="n">
        <v>46073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51320-2025</t>
        </is>
      </c>
      <c r="B364" s="1" t="n">
        <v>45950.38597222222</v>
      </c>
      <c r="C364" s="1" t="n">
        <v>46073</v>
      </c>
      <c r="D364" t="inlineStr">
        <is>
          <t>KRONOBERGS LÄN</t>
        </is>
      </c>
      <c r="E364" t="inlineStr">
        <is>
          <t>LJUNGBY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51390-2025</t>
        </is>
      </c>
      <c r="B365" s="1" t="n">
        <v>45950.46835648148</v>
      </c>
      <c r="C365" s="1" t="n">
        <v>46073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51361-2025</t>
        </is>
      </c>
      <c r="B366" s="1" t="n">
        <v>45950.44451388889</v>
      </c>
      <c r="C366" s="1" t="n">
        <v>46073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24097-2025</t>
        </is>
      </c>
      <c r="B367" s="1" t="n">
        <v>45796.58149305556</v>
      </c>
      <c r="C367" s="1" t="n">
        <v>46073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62026-2023</t>
        </is>
      </c>
      <c r="B368" s="1" t="n">
        <v>45266</v>
      </c>
      <c r="C368" s="1" t="n">
        <v>46073</v>
      </c>
      <c r="D368" t="inlineStr">
        <is>
          <t>KRONOBERGS LÄN</t>
        </is>
      </c>
      <c r="E368" t="inlineStr">
        <is>
          <t>LJUNGBY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51371-2025</t>
        </is>
      </c>
      <c r="B369" s="1" t="n">
        <v>45950.44819444444</v>
      </c>
      <c r="C369" s="1" t="n">
        <v>46073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51309-2025</t>
        </is>
      </c>
      <c r="B370" s="1" t="n">
        <v>45950.36810185185</v>
      </c>
      <c r="C370" s="1" t="n">
        <v>46073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51272-2025</t>
        </is>
      </c>
      <c r="B371" s="1" t="n">
        <v>45949.85663194444</v>
      </c>
      <c r="C371" s="1" t="n">
        <v>46073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51276-2025</t>
        </is>
      </c>
      <c r="B372" s="1" t="n">
        <v>45949</v>
      </c>
      <c r="C372" s="1" t="n">
        <v>46073</v>
      </c>
      <c r="D372" t="inlineStr">
        <is>
          <t>KRONOBERGS LÄN</t>
        </is>
      </c>
      <c r="E372" t="inlineStr">
        <is>
          <t>LJUNGBY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51459-2025</t>
        </is>
      </c>
      <c r="B373" s="1" t="n">
        <v>45950.59846064815</v>
      </c>
      <c r="C373" s="1" t="n">
        <v>46073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51463-2025</t>
        </is>
      </c>
      <c r="B374" s="1" t="n">
        <v>45950.60980324074</v>
      </c>
      <c r="C374" s="1" t="n">
        <v>46073</v>
      </c>
      <c r="D374" t="inlineStr">
        <is>
          <t>KRONOBERGS LÄN</t>
        </is>
      </c>
      <c r="E374" t="inlineStr">
        <is>
          <t>LJUNGBY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51488-2025</t>
        </is>
      </c>
      <c r="B375" s="1" t="n">
        <v>45950.62487268518</v>
      </c>
      <c r="C375" s="1" t="n">
        <v>46073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42494-2025</t>
        </is>
      </c>
      <c r="B376" s="1" t="n">
        <v>45905.50523148148</v>
      </c>
      <c r="C376" s="1" t="n">
        <v>46073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49609-2024</t>
        </is>
      </c>
      <c r="B377" s="1" t="n">
        <v>45596.57131944445</v>
      </c>
      <c r="C377" s="1" t="n">
        <v>46073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42707-2025</t>
        </is>
      </c>
      <c r="B378" s="1" t="n">
        <v>45905</v>
      </c>
      <c r="C378" s="1" t="n">
        <v>46073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42465-2025</t>
        </is>
      </c>
      <c r="B379" s="1" t="n">
        <v>45905.45804398148</v>
      </c>
      <c r="C379" s="1" t="n">
        <v>46073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51638-2025</t>
        </is>
      </c>
      <c r="B380" s="1" t="n">
        <v>45951.44193287037</v>
      </c>
      <c r="C380" s="1" t="n">
        <v>46073</v>
      </c>
      <c r="D380" t="inlineStr">
        <is>
          <t>KRONOBERGS LÄN</t>
        </is>
      </c>
      <c r="E380" t="inlineStr">
        <is>
          <t>LJUNGBY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42747-2025</t>
        </is>
      </c>
      <c r="B381" s="1" t="n">
        <v>45908.43336805556</v>
      </c>
      <c r="C381" s="1" t="n">
        <v>46073</v>
      </c>
      <c r="D381" t="inlineStr">
        <is>
          <t>KRONOBERGS LÄN</t>
        </is>
      </c>
      <c r="E381" t="inlineStr">
        <is>
          <t>LJUNGBY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24565-2025</t>
        </is>
      </c>
      <c r="B382" s="1" t="n">
        <v>45797</v>
      </c>
      <c r="C382" s="1" t="n">
        <v>46073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2840-2023</t>
        </is>
      </c>
      <c r="B383" s="1" t="n">
        <v>44945.34497685185</v>
      </c>
      <c r="C383" s="1" t="n">
        <v>46073</v>
      </c>
      <c r="D383" t="inlineStr">
        <is>
          <t>KRONOBERGS LÄN</t>
        </is>
      </c>
      <c r="E383" t="inlineStr">
        <is>
          <t>LJUNGBY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28038-2024</t>
        </is>
      </c>
      <c r="B384" s="1" t="n">
        <v>45476.50119212963</v>
      </c>
      <c r="C384" s="1" t="n">
        <v>46073</v>
      </c>
      <c r="D384" t="inlineStr">
        <is>
          <t>KRONOBERGS LÄN</t>
        </is>
      </c>
      <c r="E384" t="inlineStr">
        <is>
          <t>LJUNGBY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28039-2024</t>
        </is>
      </c>
      <c r="B385" s="1" t="n">
        <v>45476.50480324074</v>
      </c>
      <c r="C385" s="1" t="n">
        <v>46073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24583-2025</t>
        </is>
      </c>
      <c r="B386" s="1" t="n">
        <v>45798.50189814815</v>
      </c>
      <c r="C386" s="1" t="n">
        <v>46073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43644-2025</t>
        </is>
      </c>
      <c r="B387" s="1" t="n">
        <v>45911.91936342593</v>
      </c>
      <c r="C387" s="1" t="n">
        <v>46073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43267-2025</t>
        </is>
      </c>
      <c r="B388" s="1" t="n">
        <v>45910.57600694444</v>
      </c>
      <c r="C388" s="1" t="n">
        <v>46073</v>
      </c>
      <c r="D388" t="inlineStr">
        <is>
          <t>KRONOBERGS LÄN</t>
        </is>
      </c>
      <c r="E388" t="inlineStr">
        <is>
          <t>LJUNGBY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42998-2025</t>
        </is>
      </c>
      <c r="B389" s="1" t="n">
        <v>45909.46054398148</v>
      </c>
      <c r="C389" s="1" t="n">
        <v>46073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8-2023</t>
        </is>
      </c>
      <c r="B390" s="1" t="n">
        <v>44927.74953703704</v>
      </c>
      <c r="C390" s="1" t="n">
        <v>46073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53047-2025</t>
        </is>
      </c>
      <c r="B391" s="1" t="n">
        <v>45958</v>
      </c>
      <c r="C391" s="1" t="n">
        <v>46073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52760-2025</t>
        </is>
      </c>
      <c r="B392" s="1" t="n">
        <v>45957.39579861111</v>
      </c>
      <c r="C392" s="1" t="n">
        <v>46073</v>
      </c>
      <c r="D392" t="inlineStr">
        <is>
          <t>KRONOBERGS LÄN</t>
        </is>
      </c>
      <c r="E392" t="inlineStr">
        <is>
          <t>LJUNGBY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52764-2025</t>
        </is>
      </c>
      <c r="B393" s="1" t="n">
        <v>45957.39887731482</v>
      </c>
      <c r="C393" s="1" t="n">
        <v>46073</v>
      </c>
      <c r="D393" t="inlineStr">
        <is>
          <t>KRONOBERGS LÄN</t>
        </is>
      </c>
      <c r="E393" t="inlineStr">
        <is>
          <t>LJUNGBY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39187-2022</t>
        </is>
      </c>
      <c r="B394" s="1" t="n">
        <v>44817</v>
      </c>
      <c r="C394" s="1" t="n">
        <v>46073</v>
      </c>
      <c r="D394" t="inlineStr">
        <is>
          <t>KRONOBERGS LÄN</t>
        </is>
      </c>
      <c r="E394" t="inlineStr">
        <is>
          <t>LJUNGBY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53043-2025</t>
        </is>
      </c>
      <c r="B395" s="1" t="n">
        <v>45958</v>
      </c>
      <c r="C395" s="1" t="n">
        <v>46073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2081-2025</t>
        </is>
      </c>
      <c r="B396" s="1" t="n">
        <v>45672.58387731481</v>
      </c>
      <c r="C396" s="1" t="n">
        <v>46073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39042-2025</t>
        </is>
      </c>
      <c r="B397" s="1" t="n">
        <v>45888</v>
      </c>
      <c r="C397" s="1" t="n">
        <v>46073</v>
      </c>
      <c r="D397" t="inlineStr">
        <is>
          <t>KRONOBERGS LÄN</t>
        </is>
      </c>
      <c r="E397" t="inlineStr">
        <is>
          <t>LJUNGBY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52758-2025</t>
        </is>
      </c>
      <c r="B398" s="1" t="n">
        <v>45957.39263888889</v>
      </c>
      <c r="C398" s="1" t="n">
        <v>46073</v>
      </c>
      <c r="D398" t="inlineStr">
        <is>
          <t>KRONOBERGS LÄN</t>
        </is>
      </c>
      <c r="E398" t="inlineStr">
        <is>
          <t>LJUNGBY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43217-2025</t>
        </is>
      </c>
      <c r="B399" s="1" t="n">
        <v>45910.46872685185</v>
      </c>
      <c r="C399" s="1" t="n">
        <v>46073</v>
      </c>
      <c r="D399" t="inlineStr">
        <is>
          <t>KRONOBERGS LÄN</t>
        </is>
      </c>
      <c r="E399" t="inlineStr">
        <is>
          <t>LJUNGBY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53038-2025</t>
        </is>
      </c>
      <c r="B400" s="1" t="n">
        <v>45958.35123842592</v>
      </c>
      <c r="C400" s="1" t="n">
        <v>46073</v>
      </c>
      <c r="D400" t="inlineStr">
        <is>
          <t>KRONOBERGS LÄN</t>
        </is>
      </c>
      <c r="E400" t="inlineStr">
        <is>
          <t>LJUNGBY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29157-2024</t>
        </is>
      </c>
      <c r="B401" s="1" t="n">
        <v>45482</v>
      </c>
      <c r="C401" s="1" t="n">
        <v>46073</v>
      </c>
      <c r="D401" t="inlineStr">
        <is>
          <t>KRONOBERGS LÄN</t>
        </is>
      </c>
      <c r="E401" t="inlineStr">
        <is>
          <t>LJUNGBY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52768-2025</t>
        </is>
      </c>
      <c r="B402" s="1" t="n">
        <v>45957.40200231481</v>
      </c>
      <c r="C402" s="1" t="n">
        <v>46073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42972-2025</t>
        </is>
      </c>
      <c r="B403" s="1" t="n">
        <v>45909</v>
      </c>
      <c r="C403" s="1" t="n">
        <v>46073</v>
      </c>
      <c r="D403" t="inlineStr">
        <is>
          <t>KRONOBERGS LÄN</t>
        </is>
      </c>
      <c r="E403" t="inlineStr">
        <is>
          <t>LJUNGBY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HYPERLINK("https://klasma.github.io/Logging_0781/knärot/A 42972-2025 karta knärot.png", "A 42972-2025")</f>
        <v/>
      </c>
      <c r="V403">
        <f>HYPERLINK("https://klasma.github.io/Logging_0781/klagomål/A 42972-2025 FSC-klagomål.docx", "A 42972-2025")</f>
        <v/>
      </c>
      <c r="W403">
        <f>HYPERLINK("https://klasma.github.io/Logging_0781/klagomålsmail/A 42972-2025 FSC-klagomål mail.docx", "A 42972-2025")</f>
        <v/>
      </c>
      <c r="X403">
        <f>HYPERLINK("https://klasma.github.io/Logging_0781/tillsyn/A 42972-2025 tillsynsbegäran.docx", "A 42972-2025")</f>
        <v/>
      </c>
      <c r="Y403">
        <f>HYPERLINK("https://klasma.github.io/Logging_0781/tillsynsmail/A 42972-2025 tillsynsbegäran mail.docx", "A 42972-2025")</f>
        <v/>
      </c>
    </row>
    <row r="404" ht="15" customHeight="1">
      <c r="A404" t="inlineStr">
        <is>
          <t>A 29336-2024</t>
        </is>
      </c>
      <c r="B404" s="1" t="n">
        <v>45483</v>
      </c>
      <c r="C404" s="1" t="n">
        <v>46073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67204-2021</t>
        </is>
      </c>
      <c r="B405" s="1" t="n">
        <v>44523.46746527778</v>
      </c>
      <c r="C405" s="1" t="n">
        <v>46073</v>
      </c>
      <c r="D405" t="inlineStr">
        <is>
          <t>KRONOBERGS LÄN</t>
        </is>
      </c>
      <c r="E405" t="inlineStr">
        <is>
          <t>LJUNGBY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35313-2024</t>
        </is>
      </c>
      <c r="B406" s="1" t="n">
        <v>45530</v>
      </c>
      <c r="C406" s="1" t="n">
        <v>46073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42995-2025</t>
        </is>
      </c>
      <c r="B407" s="1" t="n">
        <v>45909</v>
      </c>
      <c r="C407" s="1" t="n">
        <v>46073</v>
      </c>
      <c r="D407" t="inlineStr">
        <is>
          <t>KRONOBERGS LÄN</t>
        </is>
      </c>
      <c r="E407" t="inlineStr">
        <is>
          <t>LJUNGBY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43001-2025</t>
        </is>
      </c>
      <c r="B408" s="1" t="n">
        <v>45909.46409722222</v>
      </c>
      <c r="C408" s="1" t="n">
        <v>46073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37318-2023</t>
        </is>
      </c>
      <c r="B409" s="1" t="n">
        <v>45156</v>
      </c>
      <c r="C409" s="1" t="n">
        <v>46073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61141-2024</t>
        </is>
      </c>
      <c r="B410" s="1" t="n">
        <v>45645.58603009259</v>
      </c>
      <c r="C410" s="1" t="n">
        <v>46073</v>
      </c>
      <c r="D410" t="inlineStr">
        <is>
          <t>KRONOBERGS LÄN</t>
        </is>
      </c>
      <c r="E410" t="inlineStr">
        <is>
          <t>LJUNGBY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43002-2025</t>
        </is>
      </c>
      <c r="B411" s="1" t="n">
        <v>45909</v>
      </c>
      <c r="C411" s="1" t="n">
        <v>46073</v>
      </c>
      <c r="D411" t="inlineStr">
        <is>
          <t>KRONOBERGS LÄN</t>
        </is>
      </c>
      <c r="E411" t="inlineStr">
        <is>
          <t>LJUNGBY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8080-2025</t>
        </is>
      </c>
      <c r="B412" s="1" t="n">
        <v>45707.66030092593</v>
      </c>
      <c r="C412" s="1" t="n">
        <v>46073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43485-2025</t>
        </is>
      </c>
      <c r="B413" s="1" t="n">
        <v>45911.50686342592</v>
      </c>
      <c r="C413" s="1" t="n">
        <v>46073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52684-2024</t>
        </is>
      </c>
      <c r="B414" s="1" t="n">
        <v>45610</v>
      </c>
      <c r="C414" s="1" t="n">
        <v>46073</v>
      </c>
      <c r="D414" t="inlineStr">
        <is>
          <t>KRONOBERGS LÄN</t>
        </is>
      </c>
      <c r="E414" t="inlineStr">
        <is>
          <t>LJUNGBY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53445-2025</t>
        </is>
      </c>
      <c r="B415" s="1" t="n">
        <v>45959.64649305555</v>
      </c>
      <c r="C415" s="1" t="n">
        <v>46073</v>
      </c>
      <c r="D415" t="inlineStr">
        <is>
          <t>KRONOBERGS LÄN</t>
        </is>
      </c>
      <c r="E415" t="inlineStr">
        <is>
          <t>LJUNGBY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53446-2025</t>
        </is>
      </c>
      <c r="B416" s="1" t="n">
        <v>45959.64792824074</v>
      </c>
      <c r="C416" s="1" t="n">
        <v>46073</v>
      </c>
      <c r="D416" t="inlineStr">
        <is>
          <t>KRONOBERGS LÄN</t>
        </is>
      </c>
      <c r="E416" t="inlineStr">
        <is>
          <t>LJUNGBY</t>
        </is>
      </c>
      <c r="F416" t="inlineStr">
        <is>
          <t>Övriga Aktiebolag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53932-2025</t>
        </is>
      </c>
      <c r="B417" s="1" t="n">
        <v>45961.47559027778</v>
      </c>
      <c r="C417" s="1" t="n">
        <v>46073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53883-2025</t>
        </is>
      </c>
      <c r="B418" s="1" t="n">
        <v>45961.40055555556</v>
      </c>
      <c r="C418" s="1" t="n">
        <v>46073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43643-2025</t>
        </is>
      </c>
      <c r="B419" s="1" t="n">
        <v>45911.9012037037</v>
      </c>
      <c r="C419" s="1" t="n">
        <v>46073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53930-2025</t>
        </is>
      </c>
      <c r="B420" s="1" t="n">
        <v>45961.47381944444</v>
      </c>
      <c r="C420" s="1" t="n">
        <v>46073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54245-2025</t>
        </is>
      </c>
      <c r="B421" s="1" t="n">
        <v>45964.63807870371</v>
      </c>
      <c r="C421" s="1" t="n">
        <v>46073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54259-2025</t>
        </is>
      </c>
      <c r="B422" s="1" t="n">
        <v>45964.65868055556</v>
      </c>
      <c r="C422" s="1" t="n">
        <v>46073</v>
      </c>
      <c r="D422" t="inlineStr">
        <is>
          <t>KRONOBERGS LÄN</t>
        </is>
      </c>
      <c r="E422" t="inlineStr">
        <is>
          <t>LJUNGBY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42232-2024</t>
        </is>
      </c>
      <c r="B423" s="1" t="n">
        <v>45562.55799768519</v>
      </c>
      <c r="C423" s="1" t="n">
        <v>46073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54214-2025</t>
        </is>
      </c>
      <c r="B424" s="1" t="n">
        <v>45964.59454861111</v>
      </c>
      <c r="C424" s="1" t="n">
        <v>46073</v>
      </c>
      <c r="D424" t="inlineStr">
        <is>
          <t>KRONOBERGS LÄN</t>
        </is>
      </c>
      <c r="E424" t="inlineStr">
        <is>
          <t>LJUNGBY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54002-2025</t>
        </is>
      </c>
      <c r="B425" s="1" t="n">
        <v>45961.60474537037</v>
      </c>
      <c r="C425" s="1" t="n">
        <v>46073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54012-2025</t>
        </is>
      </c>
      <c r="B426" s="1" t="n">
        <v>45961.61614583333</v>
      </c>
      <c r="C426" s="1" t="n">
        <v>46073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54003-2025</t>
        </is>
      </c>
      <c r="B427" s="1" t="n">
        <v>45961.60694444444</v>
      </c>
      <c r="C427" s="1" t="n">
        <v>46073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54005-2025</t>
        </is>
      </c>
      <c r="B428" s="1" t="n">
        <v>45961.61024305555</v>
      </c>
      <c r="C428" s="1" t="n">
        <v>46073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14844-2022</t>
        </is>
      </c>
      <c r="B429" s="1" t="n">
        <v>44656.61335648148</v>
      </c>
      <c r="C429" s="1" t="n">
        <v>46073</v>
      </c>
      <c r="D429" t="inlineStr">
        <is>
          <t>KRONOBERGS LÄN</t>
        </is>
      </c>
      <c r="E429" t="inlineStr">
        <is>
          <t>LJUNGBY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9528-2021</t>
        </is>
      </c>
      <c r="B430" s="1" t="n">
        <v>44251</v>
      </c>
      <c r="C430" s="1" t="n">
        <v>46073</v>
      </c>
      <c r="D430" t="inlineStr">
        <is>
          <t>KRONOBERGS LÄN</t>
        </is>
      </c>
      <c r="E430" t="inlineStr">
        <is>
          <t>LJUNGBY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37320-2025</t>
        </is>
      </c>
      <c r="B431" s="1" t="n">
        <v>45876.62177083334</v>
      </c>
      <c r="C431" s="1" t="n">
        <v>46073</v>
      </c>
      <c r="D431" t="inlineStr">
        <is>
          <t>KRONOBERGS LÄN</t>
        </is>
      </c>
      <c r="E431" t="inlineStr">
        <is>
          <t>LJUNGBY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48776-2024</t>
        </is>
      </c>
      <c r="B432" s="1" t="n">
        <v>45593</v>
      </c>
      <c r="C432" s="1" t="n">
        <v>46073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44338-2025</t>
        </is>
      </c>
      <c r="B433" s="1" t="n">
        <v>45916.42630787037</v>
      </c>
      <c r="C433" s="1" t="n">
        <v>46073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44341-2025</t>
        </is>
      </c>
      <c r="B434" s="1" t="n">
        <v>45916.43283564815</v>
      </c>
      <c r="C434" s="1" t="n">
        <v>46073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54441-2025</t>
        </is>
      </c>
      <c r="B435" s="1" t="n">
        <v>45965.50513888889</v>
      </c>
      <c r="C435" s="1" t="n">
        <v>46073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59692-2022</t>
        </is>
      </c>
      <c r="B436" s="1" t="n">
        <v>44908</v>
      </c>
      <c r="C436" s="1" t="n">
        <v>46073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59366-2023</t>
        </is>
      </c>
      <c r="B437" s="1" t="n">
        <v>45253</v>
      </c>
      <c r="C437" s="1" t="n">
        <v>46073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43922-2025</t>
        </is>
      </c>
      <c r="B438" s="1" t="n">
        <v>45914.99467592593</v>
      </c>
      <c r="C438" s="1" t="n">
        <v>46073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44513-2025</t>
        </is>
      </c>
      <c r="B439" s="1" t="n">
        <v>45916.69763888889</v>
      </c>
      <c r="C439" s="1" t="n">
        <v>46073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44345-2021</t>
        </is>
      </c>
      <c r="B440" s="1" t="n">
        <v>44435.41690972223</v>
      </c>
      <c r="C440" s="1" t="n">
        <v>46073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26065-2025</t>
        </is>
      </c>
      <c r="B441" s="1" t="n">
        <v>45805.27778935185</v>
      </c>
      <c r="C441" s="1" t="n">
        <v>46073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26070-2025</t>
        </is>
      </c>
      <c r="B442" s="1" t="n">
        <v>45805.31606481481</v>
      </c>
      <c r="C442" s="1" t="n">
        <v>46073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44269-2025</t>
        </is>
      </c>
      <c r="B443" s="1" t="n">
        <v>45916.31818287037</v>
      </c>
      <c r="C443" s="1" t="n">
        <v>46073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44271-2025</t>
        </is>
      </c>
      <c r="B444" s="1" t="n">
        <v>45916.32733796296</v>
      </c>
      <c r="C444" s="1" t="n">
        <v>46073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44676-2025</t>
        </is>
      </c>
      <c r="B445" s="1" t="n">
        <v>45917.56862268518</v>
      </c>
      <c r="C445" s="1" t="n">
        <v>46073</v>
      </c>
      <c r="D445" t="inlineStr">
        <is>
          <t>KRONOBERGS LÄN</t>
        </is>
      </c>
      <c r="E445" t="inlineStr">
        <is>
          <t>LJUNGBY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54890-2025</t>
        </is>
      </c>
      <c r="B446" s="1" t="n">
        <v>45967.3558912037</v>
      </c>
      <c r="C446" s="1" t="n">
        <v>46073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61193-2022</t>
        </is>
      </c>
      <c r="B447" s="1" t="n">
        <v>44915</v>
      </c>
      <c r="C447" s="1" t="n">
        <v>46073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44740-2025</t>
        </is>
      </c>
      <c r="B448" s="1" t="n">
        <v>45917.66189814815</v>
      </c>
      <c r="C448" s="1" t="n">
        <v>46073</v>
      </c>
      <c r="D448" t="inlineStr">
        <is>
          <t>KRONOBERGS LÄN</t>
        </is>
      </c>
      <c r="E448" t="inlineStr">
        <is>
          <t>LJUNGBY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55812-2025</t>
        </is>
      </c>
      <c r="B449" s="1" t="n">
        <v>45972</v>
      </c>
      <c r="C449" s="1" t="n">
        <v>46073</v>
      </c>
      <c r="D449" t="inlineStr">
        <is>
          <t>KRONOBERGS LÄN</t>
        </is>
      </c>
      <c r="E449" t="inlineStr">
        <is>
          <t>LJUNGBY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26063-2025</t>
        </is>
      </c>
      <c r="B450" s="1" t="n">
        <v>45805.27396990741</v>
      </c>
      <c r="C450" s="1" t="n">
        <v>46073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44684-2025</t>
        </is>
      </c>
      <c r="B451" s="1" t="n">
        <v>45917.58282407407</v>
      </c>
      <c r="C451" s="1" t="n">
        <v>46073</v>
      </c>
      <c r="D451" t="inlineStr">
        <is>
          <t>KRONOBERGS LÄN</t>
        </is>
      </c>
      <c r="E451" t="inlineStr">
        <is>
          <t>LJUNGBY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26064-2025</t>
        </is>
      </c>
      <c r="B452" s="1" t="n">
        <v>45805.27659722222</v>
      </c>
      <c r="C452" s="1" t="n">
        <v>46073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44682-2025</t>
        </is>
      </c>
      <c r="B453" s="1" t="n">
        <v>45917.58024305556</v>
      </c>
      <c r="C453" s="1" t="n">
        <v>46073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44670-2025</t>
        </is>
      </c>
      <c r="B454" s="1" t="n">
        <v>45917.56428240741</v>
      </c>
      <c r="C454" s="1" t="n">
        <v>46073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8901-2024</t>
        </is>
      </c>
      <c r="B455" s="1" t="n">
        <v>45357</v>
      </c>
      <c r="C455" s="1" t="n">
        <v>46073</v>
      </c>
      <c r="D455" t="inlineStr">
        <is>
          <t>KRONOBERGS LÄN</t>
        </is>
      </c>
      <c r="E455" t="inlineStr">
        <is>
          <t>LJUNGBY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34160-2023</t>
        </is>
      </c>
      <c r="B456" s="1" t="n">
        <v>45137.90618055555</v>
      </c>
      <c r="C456" s="1" t="n">
        <v>46073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45511-2025</t>
        </is>
      </c>
      <c r="B457" s="1" t="n">
        <v>45922.58009259259</v>
      </c>
      <c r="C457" s="1" t="n">
        <v>46073</v>
      </c>
      <c r="D457" t="inlineStr">
        <is>
          <t>KRONOBERGS LÄN</t>
        </is>
      </c>
      <c r="E457" t="inlineStr">
        <is>
          <t>LJUNGBY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11302-2024</t>
        </is>
      </c>
      <c r="B458" s="1" t="n">
        <v>45371.85761574074</v>
      </c>
      <c r="C458" s="1" t="n">
        <v>46073</v>
      </c>
      <c r="D458" t="inlineStr">
        <is>
          <t>KRONOBERGS LÄN</t>
        </is>
      </c>
      <c r="E458" t="inlineStr">
        <is>
          <t>LJUNGBY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52709-2022</t>
        </is>
      </c>
      <c r="B459" s="1" t="n">
        <v>44874</v>
      </c>
      <c r="C459" s="1" t="n">
        <v>46073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45118-2025</t>
        </is>
      </c>
      <c r="B460" s="1" t="n">
        <v>45919.42663194444</v>
      </c>
      <c r="C460" s="1" t="n">
        <v>46073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45507-2025</t>
        </is>
      </c>
      <c r="B461" s="1" t="n">
        <v>45922.575625</v>
      </c>
      <c r="C461" s="1" t="n">
        <v>46073</v>
      </c>
      <c r="D461" t="inlineStr">
        <is>
          <t>KRONOBERGS LÄN</t>
        </is>
      </c>
      <c r="E461" t="inlineStr">
        <is>
          <t>LJUNGBY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61634-2024</t>
        </is>
      </c>
      <c r="B462" s="1" t="n">
        <v>45646.67438657407</v>
      </c>
      <c r="C462" s="1" t="n">
        <v>46073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9027-2024</t>
        </is>
      </c>
      <c r="B463" s="1" t="n">
        <v>45357</v>
      </c>
      <c r="C463" s="1" t="n">
        <v>46073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45930-2025</t>
        </is>
      </c>
      <c r="B464" s="1" t="n">
        <v>45923.87383101852</v>
      </c>
      <c r="C464" s="1" t="n">
        <v>46073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45913-2025</t>
        </is>
      </c>
      <c r="B465" s="1" t="n">
        <v>45923.82539351852</v>
      </c>
      <c r="C465" s="1" t="n">
        <v>46073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45915-2025</t>
        </is>
      </c>
      <c r="B466" s="1" t="n">
        <v>45923.82942129629</v>
      </c>
      <c r="C466" s="1" t="n">
        <v>46073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45928-2025</t>
        </is>
      </c>
      <c r="B467" s="1" t="n">
        <v>45923.86340277778</v>
      </c>
      <c r="C467" s="1" t="n">
        <v>46073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45665-2025</t>
        </is>
      </c>
      <c r="B468" s="1" t="n">
        <v>45923.34780092593</v>
      </c>
      <c r="C468" s="1" t="n">
        <v>46073</v>
      </c>
      <c r="D468" t="inlineStr">
        <is>
          <t>KRONOBERGS LÄN</t>
        </is>
      </c>
      <c r="E468" t="inlineStr">
        <is>
          <t>LJUNGBY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27318-2025</t>
        </is>
      </c>
      <c r="B469" s="1" t="n">
        <v>45812.59082175926</v>
      </c>
      <c r="C469" s="1" t="n">
        <v>46073</v>
      </c>
      <c r="D469" t="inlineStr">
        <is>
          <t>KRONOBERGS LÄN</t>
        </is>
      </c>
      <c r="E469" t="inlineStr">
        <is>
          <t>LJUNGBY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26926-2025</t>
        </is>
      </c>
      <c r="B470" s="1" t="n">
        <v>45811.39115740741</v>
      </c>
      <c r="C470" s="1" t="n">
        <v>46073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26928-2025</t>
        </is>
      </c>
      <c r="B471" s="1" t="n">
        <v>45811.39695601852</v>
      </c>
      <c r="C471" s="1" t="n">
        <v>46073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26936-2025</t>
        </is>
      </c>
      <c r="B472" s="1" t="n">
        <v>45811.40674768519</v>
      </c>
      <c r="C472" s="1" t="n">
        <v>46073</v>
      </c>
      <c r="D472" t="inlineStr">
        <is>
          <t>KRONOBERGS LÄN</t>
        </is>
      </c>
      <c r="E472" t="inlineStr">
        <is>
          <t>LJUNGBY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27012-2025</t>
        </is>
      </c>
      <c r="B473" s="1" t="n">
        <v>45811.56310185185</v>
      </c>
      <c r="C473" s="1" t="n">
        <v>46073</v>
      </c>
      <c r="D473" t="inlineStr">
        <is>
          <t>KRONOBERGS LÄN</t>
        </is>
      </c>
      <c r="E473" t="inlineStr">
        <is>
          <t>LJUNGBY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42931-2024</t>
        </is>
      </c>
      <c r="B474" s="1" t="n">
        <v>45567.33017361111</v>
      </c>
      <c r="C474" s="1" t="n">
        <v>46073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45926-2025</t>
        </is>
      </c>
      <c r="B475" s="1" t="n">
        <v>45923.85591435185</v>
      </c>
      <c r="C475" s="1" t="n">
        <v>46073</v>
      </c>
      <c r="D475" t="inlineStr">
        <is>
          <t>KRONOBERGS LÄN</t>
        </is>
      </c>
      <c r="E475" t="inlineStr">
        <is>
          <t>LJUNGBY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26972-2025</t>
        </is>
      </c>
      <c r="B476" s="1" t="n">
        <v>45811.48321759259</v>
      </c>
      <c r="C476" s="1" t="n">
        <v>46073</v>
      </c>
      <c r="D476" t="inlineStr">
        <is>
          <t>KRONOBERGS LÄN</t>
        </is>
      </c>
      <c r="E476" t="inlineStr">
        <is>
          <t>LJUNGBY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56109-2025</t>
        </is>
      </c>
      <c r="B477" s="1" t="n">
        <v>45973.73355324074</v>
      </c>
      <c r="C477" s="1" t="n">
        <v>46073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46500-2025</t>
        </is>
      </c>
      <c r="B478" s="1" t="n">
        <v>45925.85975694445</v>
      </c>
      <c r="C478" s="1" t="n">
        <v>46073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46502-2025</t>
        </is>
      </c>
      <c r="B479" s="1" t="n">
        <v>45925.86666666667</v>
      </c>
      <c r="C479" s="1" t="n">
        <v>46073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46509-2025</t>
        </is>
      </c>
      <c r="B480" s="1" t="n">
        <v>45925.91809027778</v>
      </c>
      <c r="C480" s="1" t="n">
        <v>46073</v>
      </c>
      <c r="D480" t="inlineStr">
        <is>
          <t>KRONOBERGS LÄN</t>
        </is>
      </c>
      <c r="E480" t="inlineStr">
        <is>
          <t>LJUNGBY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46223-2025</t>
        </is>
      </c>
      <c r="B481" s="1" t="n">
        <v>45924.88241898148</v>
      </c>
      <c r="C481" s="1" t="n">
        <v>46073</v>
      </c>
      <c r="D481" t="inlineStr">
        <is>
          <t>KRONOBERGS LÄN</t>
        </is>
      </c>
      <c r="E481" t="inlineStr">
        <is>
          <t>LJUNGBY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46229-2025</t>
        </is>
      </c>
      <c r="B482" s="1" t="n">
        <v>45924.93699074074</v>
      </c>
      <c r="C482" s="1" t="n">
        <v>46073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46224-2025</t>
        </is>
      </c>
      <c r="B483" s="1" t="n">
        <v>45924.8859837963</v>
      </c>
      <c r="C483" s="1" t="n">
        <v>46073</v>
      </c>
      <c r="D483" t="inlineStr">
        <is>
          <t>KRONOBERGS LÄN</t>
        </is>
      </c>
      <c r="E483" t="inlineStr">
        <is>
          <t>LJUNGBY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46225-2025</t>
        </is>
      </c>
      <c r="B484" s="1" t="n">
        <v>45924.88934027778</v>
      </c>
      <c r="C484" s="1" t="n">
        <v>46073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46228-2025</t>
        </is>
      </c>
      <c r="B485" s="1" t="n">
        <v>45924.93190972223</v>
      </c>
      <c r="C485" s="1" t="n">
        <v>46073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46221-2025</t>
        </is>
      </c>
      <c r="B486" s="1" t="n">
        <v>45924.8712037037</v>
      </c>
      <c r="C486" s="1" t="n">
        <v>46073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46222-2025</t>
        </is>
      </c>
      <c r="B487" s="1" t="n">
        <v>45924.87837962963</v>
      </c>
      <c r="C487" s="1" t="n">
        <v>46073</v>
      </c>
      <c r="D487" t="inlineStr">
        <is>
          <t>KRONOBERGS LÄN</t>
        </is>
      </c>
      <c r="E487" t="inlineStr">
        <is>
          <t>LJUNGBY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46499-2025</t>
        </is>
      </c>
      <c r="B488" s="1" t="n">
        <v>45925.85697916667</v>
      </c>
      <c r="C488" s="1" t="n">
        <v>46073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46501-2025</t>
        </is>
      </c>
      <c r="B489" s="1" t="n">
        <v>45925.86418981481</v>
      </c>
      <c r="C489" s="1" t="n">
        <v>46073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50186-2023</t>
        </is>
      </c>
      <c r="B490" s="1" t="n">
        <v>45215.7849074074</v>
      </c>
      <c r="C490" s="1" t="n">
        <v>46073</v>
      </c>
      <c r="D490" t="inlineStr">
        <is>
          <t>KRONOBERGS LÄN</t>
        </is>
      </c>
      <c r="E490" t="inlineStr">
        <is>
          <t>LJUNGBY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50568-2023</t>
        </is>
      </c>
      <c r="B491" s="1" t="n">
        <v>45217.3809837963</v>
      </c>
      <c r="C491" s="1" t="n">
        <v>46073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56209-2025</t>
        </is>
      </c>
      <c r="B492" s="1" t="n">
        <v>45974.47431712963</v>
      </c>
      <c r="C492" s="1" t="n">
        <v>46073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54602-2024</t>
        </is>
      </c>
      <c r="B493" s="1" t="n">
        <v>45617.68131944445</v>
      </c>
      <c r="C493" s="1" t="n">
        <v>46073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4437-2025</t>
        </is>
      </c>
      <c r="B494" s="1" t="n">
        <v>45686.51583333333</v>
      </c>
      <c r="C494" s="1" t="n">
        <v>46073</v>
      </c>
      <c r="D494" t="inlineStr">
        <is>
          <t>KRONOBERGS LÄN</t>
        </is>
      </c>
      <c r="E494" t="inlineStr">
        <is>
          <t>LJUNGBY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54474-2024</t>
        </is>
      </c>
      <c r="B495" s="1" t="n">
        <v>45617.54989583333</v>
      </c>
      <c r="C495" s="1" t="n">
        <v>46073</v>
      </c>
      <c r="D495" t="inlineStr">
        <is>
          <t>KRONOBERGS LÄN</t>
        </is>
      </c>
      <c r="E495" t="inlineStr">
        <is>
          <t>LJUNGBY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27849-2025</t>
        </is>
      </c>
      <c r="B496" s="1" t="n">
        <v>45817.39481481481</v>
      </c>
      <c r="C496" s="1" t="n">
        <v>46073</v>
      </c>
      <c r="D496" t="inlineStr">
        <is>
          <t>KRONOBERGS LÄN</t>
        </is>
      </c>
      <c r="E496" t="inlineStr">
        <is>
          <t>LJUNGBY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34405-2024</t>
        </is>
      </c>
      <c r="B497" s="1" t="n">
        <v>45525</v>
      </c>
      <c r="C497" s="1" t="n">
        <v>46073</v>
      </c>
      <c r="D497" t="inlineStr">
        <is>
          <t>KRONOBERGS LÄN</t>
        </is>
      </c>
      <c r="E497" t="inlineStr">
        <is>
          <t>LJUNGBY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28335-2025</t>
        </is>
      </c>
      <c r="B498" s="1" t="n">
        <v>45818.66649305556</v>
      </c>
      <c r="C498" s="1" t="n">
        <v>46073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27846-2025</t>
        </is>
      </c>
      <c r="B499" s="1" t="n">
        <v>45817.39133101852</v>
      </c>
      <c r="C499" s="1" t="n">
        <v>46073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42270-2024</t>
        </is>
      </c>
      <c r="B500" s="1" t="n">
        <v>45562</v>
      </c>
      <c r="C500" s="1" t="n">
        <v>46073</v>
      </c>
      <c r="D500" t="inlineStr">
        <is>
          <t>KRONOBERGS LÄN</t>
        </is>
      </c>
      <c r="E500" t="inlineStr">
        <is>
          <t>LJUNGBY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28227-2025</t>
        </is>
      </c>
      <c r="B501" s="1" t="n">
        <v>45818</v>
      </c>
      <c r="C501" s="1" t="n">
        <v>46073</v>
      </c>
      <c r="D501" t="inlineStr">
        <is>
          <t>KRONOBERGS LÄN</t>
        </is>
      </c>
      <c r="E501" t="inlineStr">
        <is>
          <t>LJUNGBY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47019-2025</t>
        </is>
      </c>
      <c r="B502" s="1" t="n">
        <v>45929.57574074074</v>
      </c>
      <c r="C502" s="1" t="n">
        <v>46073</v>
      </c>
      <c r="D502" t="inlineStr">
        <is>
          <t>KRONOBERGS LÄN</t>
        </is>
      </c>
      <c r="E502" t="inlineStr">
        <is>
          <t>LJUNGBY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55926-2022</t>
        </is>
      </c>
      <c r="B503" s="1" t="n">
        <v>44886</v>
      </c>
      <c r="C503" s="1" t="n">
        <v>46073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18403-2025</t>
        </is>
      </c>
      <c r="B504" s="1" t="n">
        <v>45762.60217592592</v>
      </c>
      <c r="C504" s="1" t="n">
        <v>46073</v>
      </c>
      <c r="D504" t="inlineStr">
        <is>
          <t>KRONOBERGS LÄN</t>
        </is>
      </c>
      <c r="E504" t="inlineStr">
        <is>
          <t>LJUNGBY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27972-2025</t>
        </is>
      </c>
      <c r="B505" s="1" t="n">
        <v>45817</v>
      </c>
      <c r="C505" s="1" t="n">
        <v>46073</v>
      </c>
      <c r="D505" t="inlineStr">
        <is>
          <t>KRONOBERGS LÄN</t>
        </is>
      </c>
      <c r="E505" t="inlineStr">
        <is>
          <t>LJUNGBY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47350-2025</t>
        </is>
      </c>
      <c r="B506" s="1" t="n">
        <v>45930</v>
      </c>
      <c r="C506" s="1" t="n">
        <v>46073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47353-2025</t>
        </is>
      </c>
      <c r="B507" s="1" t="n">
        <v>45930</v>
      </c>
      <c r="C507" s="1" t="n">
        <v>46073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33176-2024</t>
        </is>
      </c>
      <c r="B508" s="1" t="n">
        <v>45518</v>
      </c>
      <c r="C508" s="1" t="n">
        <v>46073</v>
      </c>
      <c r="D508" t="inlineStr">
        <is>
          <t>KRONOBERGS LÄN</t>
        </is>
      </c>
      <c r="E508" t="inlineStr">
        <is>
          <t>LJUNGBY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28334-2025</t>
        </is>
      </c>
      <c r="B509" s="1" t="n">
        <v>45818.66446759259</v>
      </c>
      <c r="C509" s="1" t="n">
        <v>46073</v>
      </c>
      <c r="D509" t="inlineStr">
        <is>
          <t>KRONOBERGS LÄN</t>
        </is>
      </c>
      <c r="E509" t="inlineStr">
        <is>
          <t>LJUNGBY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8019-2024</t>
        </is>
      </c>
      <c r="B510" s="1" t="n">
        <v>45350.91678240741</v>
      </c>
      <c r="C510" s="1" t="n">
        <v>46073</v>
      </c>
      <c r="D510" t="inlineStr">
        <is>
          <t>KRONOBERGS LÄN</t>
        </is>
      </c>
      <c r="E510" t="inlineStr">
        <is>
          <t>LJUNGBY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8020-2024</t>
        </is>
      </c>
      <c r="B511" s="1" t="n">
        <v>45350.91932870371</v>
      </c>
      <c r="C511" s="1" t="n">
        <v>46073</v>
      </c>
      <c r="D511" t="inlineStr">
        <is>
          <t>KRONOBERGS LÄN</t>
        </is>
      </c>
      <c r="E511" t="inlineStr">
        <is>
          <t>LJUNGBY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56708-2025</t>
        </is>
      </c>
      <c r="B512" s="1" t="n">
        <v>45977.76306712963</v>
      </c>
      <c r="C512" s="1" t="n">
        <v>46073</v>
      </c>
      <c r="D512" t="inlineStr">
        <is>
          <t>KRONOBERGS LÄN</t>
        </is>
      </c>
      <c r="E512" t="inlineStr">
        <is>
          <t>LJUNGBY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56918-2025</t>
        </is>
      </c>
      <c r="B513" s="1" t="n">
        <v>45978.58472222222</v>
      </c>
      <c r="C513" s="1" t="n">
        <v>46073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29356-2025</t>
        </is>
      </c>
      <c r="B514" s="1" t="n">
        <v>45824.55555555555</v>
      </c>
      <c r="C514" s="1" t="n">
        <v>46073</v>
      </c>
      <c r="D514" t="inlineStr">
        <is>
          <t>KRONOBERGS LÄN</t>
        </is>
      </c>
      <c r="E514" t="inlineStr">
        <is>
          <t>LJUNGBY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56758-2025</t>
        </is>
      </c>
      <c r="B515" s="1" t="n">
        <v>45978.37201388889</v>
      </c>
      <c r="C515" s="1" t="n">
        <v>46073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2324-2023</t>
        </is>
      </c>
      <c r="B516" s="1" t="n">
        <v>44942</v>
      </c>
      <c r="C516" s="1" t="n">
        <v>46073</v>
      </c>
      <c r="D516" t="inlineStr">
        <is>
          <t>KRONOBERGS LÄN</t>
        </is>
      </c>
      <c r="E516" t="inlineStr">
        <is>
          <t>LJUNGBY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29915-2025</t>
        </is>
      </c>
      <c r="B517" s="1" t="n">
        <v>45826.41267361111</v>
      </c>
      <c r="C517" s="1" t="n">
        <v>46073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33122-2023</t>
        </is>
      </c>
      <c r="B518" s="1" t="n">
        <v>45126</v>
      </c>
      <c r="C518" s="1" t="n">
        <v>46073</v>
      </c>
      <c r="D518" t="inlineStr">
        <is>
          <t>KRONOBERGS LÄN</t>
        </is>
      </c>
      <c r="E518" t="inlineStr">
        <is>
          <t>LJUNGBY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49744-2023</t>
        </is>
      </c>
      <c r="B519" s="1" t="n">
        <v>45212</v>
      </c>
      <c r="C519" s="1" t="n">
        <v>46073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32047-2024</t>
        </is>
      </c>
      <c r="B520" s="1" t="n">
        <v>45510</v>
      </c>
      <c r="C520" s="1" t="n">
        <v>46073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29785-2025</t>
        </is>
      </c>
      <c r="B521" s="1" t="n">
        <v>45825.65555555555</v>
      </c>
      <c r="C521" s="1" t="n">
        <v>46073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29959-2025</t>
        </is>
      </c>
      <c r="B522" s="1" t="n">
        <v>45826.47586805555</v>
      </c>
      <c r="C522" s="1" t="n">
        <v>46073</v>
      </c>
      <c r="D522" t="inlineStr">
        <is>
          <t>KRONOBERGS LÄN</t>
        </is>
      </c>
      <c r="E522" t="inlineStr">
        <is>
          <t>LJUNGBY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56675-2025</t>
        </is>
      </c>
      <c r="B523" s="1" t="n">
        <v>45975.71053240741</v>
      </c>
      <c r="C523" s="1" t="n">
        <v>46073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56528-2025</t>
        </is>
      </c>
      <c r="B524" s="1" t="n">
        <v>45975.46717592593</v>
      </c>
      <c r="C524" s="1" t="n">
        <v>46073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30110-2025</t>
        </is>
      </c>
      <c r="B525" s="1" t="n">
        <v>45826</v>
      </c>
      <c r="C525" s="1" t="n">
        <v>46073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11509-2024</t>
        </is>
      </c>
      <c r="B526" s="1" t="n">
        <v>45372.7019212963</v>
      </c>
      <c r="C526" s="1" t="n">
        <v>46073</v>
      </c>
      <c r="D526" t="inlineStr">
        <is>
          <t>KRONOBERGS LÄN</t>
        </is>
      </c>
      <c r="E526" t="inlineStr">
        <is>
          <t>LJUNGBY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16241-2022</t>
        </is>
      </c>
      <c r="B527" s="1" t="n">
        <v>44670.43472222222</v>
      </c>
      <c r="C527" s="1" t="n">
        <v>46073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57737-2023</t>
        </is>
      </c>
      <c r="B528" s="1" t="n">
        <v>45246</v>
      </c>
      <c r="C528" s="1" t="n">
        <v>46073</v>
      </c>
      <c r="D528" t="inlineStr">
        <is>
          <t>KRONOBERGS LÄN</t>
        </is>
      </c>
      <c r="E528" t="inlineStr">
        <is>
          <t>LJUNGBY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23857-2025</t>
        </is>
      </c>
      <c r="B529" s="1" t="n">
        <v>45793.65984953703</v>
      </c>
      <c r="C529" s="1" t="n">
        <v>46073</v>
      </c>
      <c r="D529" t="inlineStr">
        <is>
          <t>KRONOBERGS LÄN</t>
        </is>
      </c>
      <c r="E529" t="inlineStr">
        <is>
          <t>LJUNGBY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30549-2025</t>
        </is>
      </c>
      <c r="B530" s="1" t="n">
        <v>45831.3783912037</v>
      </c>
      <c r="C530" s="1" t="n">
        <v>46073</v>
      </c>
      <c r="D530" t="inlineStr">
        <is>
          <t>KRONOBERGS LÄN</t>
        </is>
      </c>
      <c r="E530" t="inlineStr">
        <is>
          <t>LJUNGBY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30741-2025</t>
        </is>
      </c>
      <c r="B531" s="1" t="n">
        <v>45831.57793981482</v>
      </c>
      <c r="C531" s="1" t="n">
        <v>46073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30132-2023</t>
        </is>
      </c>
      <c r="B532" s="1" t="n">
        <v>45110</v>
      </c>
      <c r="C532" s="1" t="n">
        <v>46073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57431-2025</t>
        </is>
      </c>
      <c r="B533" s="1" t="n">
        <v>45980.47408564815</v>
      </c>
      <c r="C533" s="1" t="n">
        <v>46073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30857-2025</t>
        </is>
      </c>
      <c r="B534" s="1" t="n">
        <v>45831</v>
      </c>
      <c r="C534" s="1" t="n">
        <v>46073</v>
      </c>
      <c r="D534" t="inlineStr">
        <is>
          <t>KRONOBERGS LÄN</t>
        </is>
      </c>
      <c r="E534" t="inlineStr">
        <is>
          <t>LJUNGBY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30862-2025</t>
        </is>
      </c>
      <c r="B535" s="1" t="n">
        <v>45832.28081018518</v>
      </c>
      <c r="C535" s="1" t="n">
        <v>46073</v>
      </c>
      <c r="D535" t="inlineStr">
        <is>
          <t>KRONOBERGS LÄN</t>
        </is>
      </c>
      <c r="E535" t="inlineStr">
        <is>
          <t>LJUNGBY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30538-2025</t>
        </is>
      </c>
      <c r="B536" s="1" t="n">
        <v>45831.36892361111</v>
      </c>
      <c r="C536" s="1" t="n">
        <v>46073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30523-2025</t>
        </is>
      </c>
      <c r="B537" s="1" t="n">
        <v>45831.35077546296</v>
      </c>
      <c r="C537" s="1" t="n">
        <v>46073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30521-2025</t>
        </is>
      </c>
      <c r="B538" s="1" t="n">
        <v>45831.34712962963</v>
      </c>
      <c r="C538" s="1" t="n">
        <v>46073</v>
      </c>
      <c r="D538" t="inlineStr">
        <is>
          <t>KRONOBERGS LÄN</t>
        </is>
      </c>
      <c r="E538" t="inlineStr">
        <is>
          <t>LJUNGBY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39754-2023</t>
        </is>
      </c>
      <c r="B539" s="1" t="n">
        <v>45167.68207175926</v>
      </c>
      <c r="C539" s="1" t="n">
        <v>46073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57450-2025</t>
        </is>
      </c>
      <c r="B540" s="1" t="n">
        <v>45980.50091435185</v>
      </c>
      <c r="C540" s="1" t="n">
        <v>46073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53345-2024</t>
        </is>
      </c>
      <c r="B541" s="1" t="n">
        <v>45614.44239583334</v>
      </c>
      <c r="C541" s="1" t="n">
        <v>46073</v>
      </c>
      <c r="D541" t="inlineStr">
        <is>
          <t>KRONOBERGS LÄN</t>
        </is>
      </c>
      <c r="E541" t="inlineStr">
        <is>
          <t>LJUNGBY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30529-2025</t>
        </is>
      </c>
      <c r="B542" s="1" t="n">
        <v>45831.36045138889</v>
      </c>
      <c r="C542" s="1" t="n">
        <v>46073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30720-2025</t>
        </is>
      </c>
      <c r="B543" s="1" t="n">
        <v>45831.56630787037</v>
      </c>
      <c r="C543" s="1" t="n">
        <v>46073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31604-2025</t>
        </is>
      </c>
      <c r="B544" s="1" t="n">
        <v>45833.74201388889</v>
      </c>
      <c r="C544" s="1" t="n">
        <v>46073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31602-2025</t>
        </is>
      </c>
      <c r="B545" s="1" t="n">
        <v>45833.73708333333</v>
      </c>
      <c r="C545" s="1" t="n">
        <v>46073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57632-2025</t>
        </is>
      </c>
      <c r="B546" s="1" t="n">
        <v>45981.34871527777</v>
      </c>
      <c r="C546" s="1" t="n">
        <v>46073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20182-2025</t>
        </is>
      </c>
      <c r="B547" s="1" t="n">
        <v>45772.59259259259</v>
      </c>
      <c r="C547" s="1" t="n">
        <v>46073</v>
      </c>
      <c r="D547" t="inlineStr">
        <is>
          <t>KRONOBERGS LÄN</t>
        </is>
      </c>
      <c r="E547" t="inlineStr">
        <is>
          <t>LJUNGBY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22610-2023</t>
        </is>
      </c>
      <c r="B548" s="1" t="n">
        <v>45071.54651620371</v>
      </c>
      <c r="C548" s="1" t="n">
        <v>46073</v>
      </c>
      <c r="D548" t="inlineStr">
        <is>
          <t>KRONOBERGS LÄN</t>
        </is>
      </c>
      <c r="E548" t="inlineStr">
        <is>
          <t>LJUNGBY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22613-2023</t>
        </is>
      </c>
      <c r="B549" s="1" t="n">
        <v>45071.54908564815</v>
      </c>
      <c r="C549" s="1" t="n">
        <v>46073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1384-2022</t>
        </is>
      </c>
      <c r="B550" s="1" t="n">
        <v>44573</v>
      </c>
      <c r="C550" s="1" t="n">
        <v>46073</v>
      </c>
      <c r="D550" t="inlineStr">
        <is>
          <t>KRONOBERGS LÄN</t>
        </is>
      </c>
      <c r="E550" t="inlineStr">
        <is>
          <t>LJUNGBY</t>
        </is>
      </c>
      <c r="F550" t="inlineStr">
        <is>
          <t>Kommuner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57633-2025</t>
        </is>
      </c>
      <c r="B551" s="1" t="n">
        <v>45981.35096064815</v>
      </c>
      <c r="C551" s="1" t="n">
        <v>46073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32645-2025</t>
        </is>
      </c>
      <c r="B552" s="1" t="n">
        <v>45838.66364583333</v>
      </c>
      <c r="C552" s="1" t="n">
        <v>46073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32014-2025</t>
        </is>
      </c>
      <c r="B553" s="1" t="n">
        <v>45835.40136574074</v>
      </c>
      <c r="C553" s="1" t="n">
        <v>46073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58319-2025</t>
        </is>
      </c>
      <c r="B554" s="1" t="n">
        <v>45985.4733912037</v>
      </c>
      <c r="C554" s="1" t="n">
        <v>46073</v>
      </c>
      <c r="D554" t="inlineStr">
        <is>
          <t>KRONOBERGS LÄN</t>
        </is>
      </c>
      <c r="E554" t="inlineStr">
        <is>
          <t>LJUNGBY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21484-2024</t>
        </is>
      </c>
      <c r="B555" s="1" t="n">
        <v>45441</v>
      </c>
      <c r="C555" s="1" t="n">
        <v>46073</v>
      </c>
      <c r="D555" t="inlineStr">
        <is>
          <t>KRONOBERGS LÄN</t>
        </is>
      </c>
      <c r="E555" t="inlineStr">
        <is>
          <t>LJUNGBY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58331-2025</t>
        </is>
      </c>
      <c r="B556" s="1" t="n">
        <v>45985.47966435185</v>
      </c>
      <c r="C556" s="1" t="n">
        <v>46073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32387-2025</t>
        </is>
      </c>
      <c r="B557" s="1" t="n">
        <v>45837.87837962963</v>
      </c>
      <c r="C557" s="1" t="n">
        <v>46073</v>
      </c>
      <c r="D557" t="inlineStr">
        <is>
          <t>KRONOBERGS LÄN</t>
        </is>
      </c>
      <c r="E557" t="inlineStr">
        <is>
          <t>LJUNGBY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32390-2025</t>
        </is>
      </c>
      <c r="B558" s="1" t="n">
        <v>45837.90488425926</v>
      </c>
      <c r="C558" s="1" t="n">
        <v>46073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32011-2025</t>
        </is>
      </c>
      <c r="B559" s="1" t="n">
        <v>45835.39804398148</v>
      </c>
      <c r="C559" s="1" t="n">
        <v>46073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7597-2025</t>
        </is>
      </c>
      <c r="B560" s="1" t="n">
        <v>45705.65206018519</v>
      </c>
      <c r="C560" s="1" t="n">
        <v>46073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33152-2025</t>
        </is>
      </c>
      <c r="B561" s="1" t="n">
        <v>45840.55074074074</v>
      </c>
      <c r="C561" s="1" t="n">
        <v>46073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33151-2025</t>
        </is>
      </c>
      <c r="B562" s="1" t="n">
        <v>45840.5487037037</v>
      </c>
      <c r="C562" s="1" t="n">
        <v>46073</v>
      </c>
      <c r="D562" t="inlineStr">
        <is>
          <t>KRONOBERGS LÄN</t>
        </is>
      </c>
      <c r="E562" t="inlineStr">
        <is>
          <t>LJUNGBY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48147-2023</t>
        </is>
      </c>
      <c r="B563" s="1" t="n">
        <v>45205.39787037037</v>
      </c>
      <c r="C563" s="1" t="n">
        <v>46073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48175-2023</t>
        </is>
      </c>
      <c r="B564" s="1" t="n">
        <v>45205</v>
      </c>
      <c r="C564" s="1" t="n">
        <v>46073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HYPERLINK("https://klasma.github.io/Logging_0781/knärot/A 48175-2023 karta knärot.png", "A 48175-2023")</f>
        <v/>
      </c>
      <c r="V564">
        <f>HYPERLINK("https://klasma.github.io/Logging_0781/klagomål/A 48175-2023 FSC-klagomål.docx", "A 48175-2023")</f>
        <v/>
      </c>
      <c r="W564">
        <f>HYPERLINK("https://klasma.github.io/Logging_0781/klagomålsmail/A 48175-2023 FSC-klagomål mail.docx", "A 48175-2023")</f>
        <v/>
      </c>
      <c r="X564">
        <f>HYPERLINK("https://klasma.github.io/Logging_0781/tillsyn/A 48175-2023 tillsynsbegäran.docx", "A 48175-2023")</f>
        <v/>
      </c>
      <c r="Y564">
        <f>HYPERLINK("https://klasma.github.io/Logging_0781/tillsynsmail/A 48175-2023 tillsynsbegäran mail.docx", "A 48175-2023")</f>
        <v/>
      </c>
    </row>
    <row r="565" ht="15" customHeight="1">
      <c r="A565" t="inlineStr">
        <is>
          <t>A 48243-2023</t>
        </is>
      </c>
      <c r="B565" s="1" t="n">
        <v>45205</v>
      </c>
      <c r="C565" s="1" t="n">
        <v>46073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2845-2023</t>
        </is>
      </c>
      <c r="B566" s="1" t="n">
        <v>44945.35765046296</v>
      </c>
      <c r="C566" s="1" t="n">
        <v>46073</v>
      </c>
      <c r="D566" t="inlineStr">
        <is>
          <t>KRONOBERGS LÄN</t>
        </is>
      </c>
      <c r="E566" t="inlineStr">
        <is>
          <t>LJUNGBY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43021-2024</t>
        </is>
      </c>
      <c r="B567" s="1" t="n">
        <v>45567</v>
      </c>
      <c r="C567" s="1" t="n">
        <v>46073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58732-2025</t>
        </is>
      </c>
      <c r="B568" s="1" t="n">
        <v>45986.62627314815</v>
      </c>
      <c r="C568" s="1" t="n">
        <v>46073</v>
      </c>
      <c r="D568" t="inlineStr">
        <is>
          <t>KRONOBERGS LÄN</t>
        </is>
      </c>
      <c r="E568" t="inlineStr">
        <is>
          <t>LJUNGBY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56387-2023</t>
        </is>
      </c>
      <c r="B569" s="1" t="n">
        <v>45243</v>
      </c>
      <c r="C569" s="1" t="n">
        <v>46073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13480-2023</t>
        </is>
      </c>
      <c r="B570" s="1" t="n">
        <v>45005</v>
      </c>
      <c r="C570" s="1" t="n">
        <v>46073</v>
      </c>
      <c r="D570" t="inlineStr">
        <is>
          <t>KRONOBERGS LÄN</t>
        </is>
      </c>
      <c r="E570" t="inlineStr">
        <is>
          <t>LJUNGBY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58877-2025</t>
        </is>
      </c>
      <c r="B571" s="1" t="n">
        <v>45987.47009259259</v>
      </c>
      <c r="C571" s="1" t="n">
        <v>46073</v>
      </c>
      <c r="D571" t="inlineStr">
        <is>
          <t>KRONOBERGS LÄN</t>
        </is>
      </c>
      <c r="E571" t="inlineStr">
        <is>
          <t>LJUNGBY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58875-2025</t>
        </is>
      </c>
      <c r="B572" s="1" t="n">
        <v>45987.4678125</v>
      </c>
      <c r="C572" s="1" t="n">
        <v>46073</v>
      </c>
      <c r="D572" t="inlineStr">
        <is>
          <t>KRONOBERGS LÄN</t>
        </is>
      </c>
      <c r="E572" t="inlineStr">
        <is>
          <t>LJUNGBY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27006-2022</t>
        </is>
      </c>
      <c r="B573" s="1" t="n">
        <v>44740.92936342592</v>
      </c>
      <c r="C573" s="1" t="n">
        <v>46073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62978-2023</t>
        </is>
      </c>
      <c r="B574" s="1" t="n">
        <v>45272</v>
      </c>
      <c r="C574" s="1" t="n">
        <v>46073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33923-2025</t>
        </is>
      </c>
      <c r="B575" s="1" t="n">
        <v>45842.62019675926</v>
      </c>
      <c r="C575" s="1" t="n">
        <v>46073</v>
      </c>
      <c r="D575" t="inlineStr">
        <is>
          <t>KRONOBERGS LÄN</t>
        </is>
      </c>
      <c r="E575" t="inlineStr">
        <is>
          <t>LJUNGBY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33926-2025</t>
        </is>
      </c>
      <c r="B576" s="1" t="n">
        <v>45842.62362268518</v>
      </c>
      <c r="C576" s="1" t="n">
        <v>46073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52843-2023</t>
        </is>
      </c>
      <c r="B577" s="1" t="n">
        <v>45226.43175925926</v>
      </c>
      <c r="C577" s="1" t="n">
        <v>46073</v>
      </c>
      <c r="D577" t="inlineStr">
        <is>
          <t>KRONOBERGS LÄN</t>
        </is>
      </c>
      <c r="E577" t="inlineStr">
        <is>
          <t>LJUNGBY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33547-2025</t>
        </is>
      </c>
      <c r="B578" s="1" t="n">
        <v>45841.57072916667</v>
      </c>
      <c r="C578" s="1" t="n">
        <v>46073</v>
      </c>
      <c r="D578" t="inlineStr">
        <is>
          <t>KRONOBERGS LÄN</t>
        </is>
      </c>
      <c r="E578" t="inlineStr">
        <is>
          <t>LJUNGBY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59203-2025</t>
        </is>
      </c>
      <c r="B579" s="1" t="n">
        <v>45988.60434027778</v>
      </c>
      <c r="C579" s="1" t="n">
        <v>46073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33811-2025</t>
        </is>
      </c>
      <c r="B580" s="1" t="n">
        <v>45842.45201388889</v>
      </c>
      <c r="C580" s="1" t="n">
        <v>46073</v>
      </c>
      <c r="D580" t="inlineStr">
        <is>
          <t>KRONOBERGS LÄN</t>
        </is>
      </c>
      <c r="E580" t="inlineStr">
        <is>
          <t>LJUNGBY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3203-2023</t>
        </is>
      </c>
      <c r="B581" s="1" t="n">
        <v>44946.62486111111</v>
      </c>
      <c r="C581" s="1" t="n">
        <v>46073</v>
      </c>
      <c r="D581" t="inlineStr">
        <is>
          <t>KRONOBERGS LÄN</t>
        </is>
      </c>
      <c r="E581" t="inlineStr">
        <is>
          <t>LJUNGBY</t>
        </is>
      </c>
      <c r="F581" t="inlineStr">
        <is>
          <t>Kommuner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20365-2025</t>
        </is>
      </c>
      <c r="B582" s="1" t="n">
        <v>45775.40460648148</v>
      </c>
      <c r="C582" s="1" t="n">
        <v>46073</v>
      </c>
      <c r="D582" t="inlineStr">
        <is>
          <t>KRONOBERGS LÄN</t>
        </is>
      </c>
      <c r="E582" t="inlineStr">
        <is>
          <t>LJUNGBY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26975-2025</t>
        </is>
      </c>
      <c r="B583" s="1" t="n">
        <v>45811.48709490741</v>
      </c>
      <c r="C583" s="1" t="n">
        <v>46073</v>
      </c>
      <c r="D583" t="inlineStr">
        <is>
          <t>KRONOBERGS LÄN</t>
        </is>
      </c>
      <c r="E583" t="inlineStr">
        <is>
          <t>LJUNGBY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34101-2025</t>
        </is>
      </c>
      <c r="B584" s="1" t="n">
        <v>45845.48898148148</v>
      </c>
      <c r="C584" s="1" t="n">
        <v>46073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59175-2025</t>
        </is>
      </c>
      <c r="B585" s="1" t="n">
        <v>45988.56981481481</v>
      </c>
      <c r="C585" s="1" t="n">
        <v>46073</v>
      </c>
      <c r="D585" t="inlineStr">
        <is>
          <t>KRONOBERGS LÄN</t>
        </is>
      </c>
      <c r="E585" t="inlineStr">
        <is>
          <t>LJUNGBY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59170-2025</t>
        </is>
      </c>
      <c r="B586" s="1" t="n">
        <v>45988.56508101852</v>
      </c>
      <c r="C586" s="1" t="n">
        <v>46073</v>
      </c>
      <c r="D586" t="inlineStr">
        <is>
          <t>KRONOBERGS LÄN</t>
        </is>
      </c>
      <c r="E586" t="inlineStr">
        <is>
          <t>LJUNGBY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59211-2025</t>
        </is>
      </c>
      <c r="B587" s="1" t="n">
        <v>45988.61527777778</v>
      </c>
      <c r="C587" s="1" t="n">
        <v>46073</v>
      </c>
      <c r="D587" t="inlineStr">
        <is>
          <t>KRONOBERGS LÄN</t>
        </is>
      </c>
      <c r="E587" t="inlineStr">
        <is>
          <t>LJUNGBY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11071-2025</t>
        </is>
      </c>
      <c r="B588" s="1" t="n">
        <v>45723.54547453704</v>
      </c>
      <c r="C588" s="1" t="n">
        <v>46073</v>
      </c>
      <c r="D588" t="inlineStr">
        <is>
          <t>KRONOBERGS LÄN</t>
        </is>
      </c>
      <c r="E588" t="inlineStr">
        <is>
          <t>LJUNGBY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59183-2025</t>
        </is>
      </c>
      <c r="B589" s="1" t="n">
        <v>45988.57502314815</v>
      </c>
      <c r="C589" s="1" t="n">
        <v>46073</v>
      </c>
      <c r="D589" t="inlineStr">
        <is>
          <t>KRONOBERGS LÄN</t>
        </is>
      </c>
      <c r="E589" t="inlineStr">
        <is>
          <t>LJUNGBY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34169-2025</t>
        </is>
      </c>
      <c r="B590" s="1" t="n">
        <v>45845</v>
      </c>
      <c r="C590" s="1" t="n">
        <v>46073</v>
      </c>
      <c r="D590" t="inlineStr">
        <is>
          <t>KRONOBERGS LÄN</t>
        </is>
      </c>
      <c r="E590" t="inlineStr">
        <is>
          <t>LJUNGBY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59794-2025</t>
        </is>
      </c>
      <c r="B591" s="1" t="n">
        <v>45992.61707175926</v>
      </c>
      <c r="C591" s="1" t="n">
        <v>46073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34095-2025</t>
        </is>
      </c>
      <c r="B592" s="1" t="n">
        <v>45845.48228009259</v>
      </c>
      <c r="C592" s="1" t="n">
        <v>46073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59701-2025</t>
        </is>
      </c>
      <c r="B593" s="1" t="n">
        <v>45992.4956712963</v>
      </c>
      <c r="C593" s="1" t="n">
        <v>46073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34738-2025</t>
        </is>
      </c>
      <c r="B594" s="1" t="n">
        <v>45848.6062962963</v>
      </c>
      <c r="C594" s="1" t="n">
        <v>46073</v>
      </c>
      <c r="D594" t="inlineStr">
        <is>
          <t>KRONOBERGS LÄN</t>
        </is>
      </c>
      <c r="E594" t="inlineStr">
        <is>
          <t>LJUNGBY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59497-2025</t>
        </is>
      </c>
      <c r="B595" s="1" t="n">
        <v>45989.61616898148</v>
      </c>
      <c r="C595" s="1" t="n">
        <v>46073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34742-2025</t>
        </is>
      </c>
      <c r="B596" s="1" t="n">
        <v>45848.61030092592</v>
      </c>
      <c r="C596" s="1" t="n">
        <v>46073</v>
      </c>
      <c r="D596" t="inlineStr">
        <is>
          <t>KRONOBERGS LÄN</t>
        </is>
      </c>
      <c r="E596" t="inlineStr">
        <is>
          <t>LJUNGBY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59302-2025</t>
        </is>
      </c>
      <c r="B597" s="1" t="n">
        <v>45988.90204861111</v>
      </c>
      <c r="C597" s="1" t="n">
        <v>46073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59311-2025</t>
        </is>
      </c>
      <c r="B598" s="1" t="n">
        <v>45989.30121527778</v>
      </c>
      <c r="C598" s="1" t="n">
        <v>46073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59813-2025</t>
        </is>
      </c>
      <c r="B599" s="1" t="n">
        <v>45992.6330787037</v>
      </c>
      <c r="C599" s="1" t="n">
        <v>46073</v>
      </c>
      <c r="D599" t="inlineStr">
        <is>
          <t>KRONOBERGS LÄN</t>
        </is>
      </c>
      <c r="E599" t="inlineStr">
        <is>
          <t>LJUNGBY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12499-2025</t>
        </is>
      </c>
      <c r="B600" s="1" t="n">
        <v>45730.61275462963</v>
      </c>
      <c r="C600" s="1" t="n">
        <v>46073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59611-2025</t>
        </is>
      </c>
      <c r="B601" s="1" t="n">
        <v>45992.36965277778</v>
      </c>
      <c r="C601" s="1" t="n">
        <v>46073</v>
      </c>
      <c r="D601" t="inlineStr">
        <is>
          <t>KRONOBERGS LÄN</t>
        </is>
      </c>
      <c r="E601" t="inlineStr">
        <is>
          <t>LJUNGBY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26979-2025</t>
        </is>
      </c>
      <c r="B602" s="1" t="n">
        <v>45811.4892824074</v>
      </c>
      <c r="C602" s="1" t="n">
        <v>46073</v>
      </c>
      <c r="D602" t="inlineStr">
        <is>
          <t>KRONOBERGS LÄN</t>
        </is>
      </c>
      <c r="E602" t="inlineStr">
        <is>
          <t>LJUNGBY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59778-2025</t>
        </is>
      </c>
      <c r="B603" s="1" t="n">
        <v>45992.60752314814</v>
      </c>
      <c r="C603" s="1" t="n">
        <v>46073</v>
      </c>
      <c r="D603" t="inlineStr">
        <is>
          <t>KRONOBERGS LÄN</t>
        </is>
      </c>
      <c r="E603" t="inlineStr">
        <is>
          <t>LJUNGBY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35038-2025</t>
        </is>
      </c>
      <c r="B604" s="1" t="n">
        <v>45852.33880787037</v>
      </c>
      <c r="C604" s="1" t="n">
        <v>46073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59601-2025</t>
        </is>
      </c>
      <c r="B605" s="1" t="n">
        <v>45992.35875</v>
      </c>
      <c r="C605" s="1" t="n">
        <v>46073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24787-2023</t>
        </is>
      </c>
      <c r="B606" s="1" t="n">
        <v>45084.67444444444</v>
      </c>
      <c r="C606" s="1" t="n">
        <v>46073</v>
      </c>
      <c r="D606" t="inlineStr">
        <is>
          <t>KRONOBERGS LÄN</t>
        </is>
      </c>
      <c r="E606" t="inlineStr">
        <is>
          <t>LJUNGBY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59703-2025</t>
        </is>
      </c>
      <c r="B607" s="1" t="n">
        <v>45992.49641203704</v>
      </c>
      <c r="C607" s="1" t="n">
        <v>46073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59604-2025</t>
        </is>
      </c>
      <c r="B608" s="1" t="n">
        <v>45992.36101851852</v>
      </c>
      <c r="C608" s="1" t="n">
        <v>46073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11781-2022</t>
        </is>
      </c>
      <c r="B609" s="1" t="n">
        <v>44634</v>
      </c>
      <c r="C609" s="1" t="n">
        <v>46073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1265-2025</t>
        </is>
      </c>
      <c r="B610" s="1" t="n">
        <v>45667.4771412037</v>
      </c>
      <c r="C610" s="1" t="n">
        <v>46073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32637-2025</t>
        </is>
      </c>
      <c r="B611" s="1" t="n">
        <v>45838.65708333333</v>
      </c>
      <c r="C611" s="1" t="n">
        <v>46073</v>
      </c>
      <c r="D611" t="inlineStr">
        <is>
          <t>KRONOBERGS LÄN</t>
        </is>
      </c>
      <c r="E611" t="inlineStr">
        <is>
          <t>LJUNGBY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5392-2023</t>
        </is>
      </c>
      <c r="B612" s="1" t="n">
        <v>44959.68709490741</v>
      </c>
      <c r="C612" s="1" t="n">
        <v>46073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62364-2022</t>
        </is>
      </c>
      <c r="B613" s="1" t="n">
        <v>44923</v>
      </c>
      <c r="C613" s="1" t="n">
        <v>46073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62366-2022</t>
        </is>
      </c>
      <c r="B614" s="1" t="n">
        <v>44923.65486111111</v>
      </c>
      <c r="C614" s="1" t="n">
        <v>46073</v>
      </c>
      <c r="D614" t="inlineStr">
        <is>
          <t>KRONOBERGS LÄN</t>
        </is>
      </c>
      <c r="E614" t="inlineStr">
        <is>
          <t>LJUNGBY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27019-2025</t>
        </is>
      </c>
      <c r="B615" s="1" t="n">
        <v>45811.57001157408</v>
      </c>
      <c r="C615" s="1" t="n">
        <v>46073</v>
      </c>
      <c r="D615" t="inlineStr">
        <is>
          <t>KRONOBERGS LÄN</t>
        </is>
      </c>
      <c r="E615" t="inlineStr">
        <is>
          <t>LJUNGBY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30018-2023</t>
        </is>
      </c>
      <c r="B616" s="1" t="n">
        <v>45109</v>
      </c>
      <c r="C616" s="1" t="n">
        <v>46073</v>
      </c>
      <c r="D616" t="inlineStr">
        <is>
          <t>KRONOBERGS LÄN</t>
        </is>
      </c>
      <c r="E616" t="inlineStr">
        <is>
          <t>LJUNGBY</t>
        </is>
      </c>
      <c r="G616" t="n">
        <v>13.6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35317-2024</t>
        </is>
      </c>
      <c r="B617" s="1" t="n">
        <v>45530.69050925926</v>
      </c>
      <c r="C617" s="1" t="n">
        <v>46073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53411-2024</t>
        </is>
      </c>
      <c r="B618" s="1" t="n">
        <v>45614.50349537037</v>
      </c>
      <c r="C618" s="1" t="n">
        <v>46073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59963-2025</t>
        </is>
      </c>
      <c r="B619" s="1" t="n">
        <v>45993.4796412037</v>
      </c>
      <c r="C619" s="1" t="n">
        <v>46073</v>
      </c>
      <c r="D619" t="inlineStr">
        <is>
          <t>KRONOBERGS LÄN</t>
        </is>
      </c>
      <c r="E619" t="inlineStr">
        <is>
          <t>LJUNGBY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5403-2023</t>
        </is>
      </c>
      <c r="B620" s="1" t="n">
        <v>44959</v>
      </c>
      <c r="C620" s="1" t="n">
        <v>46073</v>
      </c>
      <c r="D620" t="inlineStr">
        <is>
          <t>KRONOBERGS LÄN</t>
        </is>
      </c>
      <c r="E620" t="inlineStr">
        <is>
          <t>LJUNGBY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1043-2024</t>
        </is>
      </c>
      <c r="B621" s="1" t="n">
        <v>45301.83475694444</v>
      </c>
      <c r="C621" s="1" t="n">
        <v>46073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56780-2024</t>
        </is>
      </c>
      <c r="B622" s="1" t="n">
        <v>45628.44303240741</v>
      </c>
      <c r="C622" s="1" t="n">
        <v>46073</v>
      </c>
      <c r="D622" t="inlineStr">
        <is>
          <t>KRONOBERGS LÄN</t>
        </is>
      </c>
      <c r="E622" t="inlineStr">
        <is>
          <t>LJUNGBY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35790-2025</t>
        </is>
      </c>
      <c r="B623" s="1" t="n">
        <v>45860</v>
      </c>
      <c r="C623" s="1" t="n">
        <v>46073</v>
      </c>
      <c r="D623" t="inlineStr">
        <is>
          <t>KRONOBERGS LÄN</t>
        </is>
      </c>
      <c r="E623" t="inlineStr">
        <is>
          <t>LJUNGBY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55282-2024</t>
        </is>
      </c>
      <c r="B624" s="1" t="n">
        <v>45621</v>
      </c>
      <c r="C624" s="1" t="n">
        <v>46073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54882-2024</t>
        </is>
      </c>
      <c r="B625" s="1" t="n">
        <v>45618.61243055556</v>
      </c>
      <c r="C625" s="1" t="n">
        <v>46073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3929-2025</t>
        </is>
      </c>
      <c r="B626" s="1" t="n">
        <v>45684.45225694445</v>
      </c>
      <c r="C626" s="1" t="n">
        <v>46073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52858-2024</t>
        </is>
      </c>
      <c r="B627" s="1" t="n">
        <v>45610.61537037037</v>
      </c>
      <c r="C627" s="1" t="n">
        <v>46073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49076-2024</t>
        </is>
      </c>
      <c r="B628" s="1" t="n">
        <v>45594.61994212963</v>
      </c>
      <c r="C628" s="1" t="n">
        <v>46073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27013-2025</t>
        </is>
      </c>
      <c r="B629" s="1" t="n">
        <v>45811.56517361111</v>
      </c>
      <c r="C629" s="1" t="n">
        <v>46073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11777-2022</t>
        </is>
      </c>
      <c r="B630" s="1" t="n">
        <v>44634</v>
      </c>
      <c r="C630" s="1" t="n">
        <v>46073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75-2023</t>
        </is>
      </c>
      <c r="B631" s="1" t="n">
        <v>44928.45686342593</v>
      </c>
      <c r="C631" s="1" t="n">
        <v>46073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53851-2023</t>
        </is>
      </c>
      <c r="B632" s="1" t="n">
        <v>45231</v>
      </c>
      <c r="C632" s="1" t="n">
        <v>46073</v>
      </c>
      <c r="D632" t="inlineStr">
        <is>
          <t>KRONOBERGS LÄN</t>
        </is>
      </c>
      <c r="E632" t="inlineStr">
        <is>
          <t>LJUNGBY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34165-2025</t>
        </is>
      </c>
      <c r="B633" s="1" t="n">
        <v>45845</v>
      </c>
      <c r="C633" s="1" t="n">
        <v>46073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59970-2025</t>
        </is>
      </c>
      <c r="B634" s="1" t="n">
        <v>45993</v>
      </c>
      <c r="C634" s="1" t="n">
        <v>46073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36514-2025</t>
        </is>
      </c>
      <c r="B635" s="1" t="n">
        <v>45869</v>
      </c>
      <c r="C635" s="1" t="n">
        <v>46073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15426-2023</t>
        </is>
      </c>
      <c r="B636" s="1" t="n">
        <v>45020</v>
      </c>
      <c r="C636" s="1" t="n">
        <v>46073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36515-2025</t>
        </is>
      </c>
      <c r="B637" s="1" t="n">
        <v>45869</v>
      </c>
      <c r="C637" s="1" t="n">
        <v>46073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36460-2025</t>
        </is>
      </c>
      <c r="B638" s="1" t="n">
        <v>45869</v>
      </c>
      <c r="C638" s="1" t="n">
        <v>46073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3879-2025</t>
        </is>
      </c>
      <c r="B639" s="1" t="n">
        <v>45684.34594907407</v>
      </c>
      <c r="C639" s="1" t="n">
        <v>46073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36513-2025</t>
        </is>
      </c>
      <c r="B640" s="1" t="n">
        <v>45869</v>
      </c>
      <c r="C640" s="1" t="n">
        <v>46073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14496-2023</t>
        </is>
      </c>
      <c r="B641" s="1" t="n">
        <v>45012</v>
      </c>
      <c r="C641" s="1" t="n">
        <v>46073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50803-2024</t>
        </is>
      </c>
      <c r="B642" s="1" t="n">
        <v>45602</v>
      </c>
      <c r="C642" s="1" t="n">
        <v>46073</v>
      </c>
      <c r="D642" t="inlineStr">
        <is>
          <t>KRONOBERGS LÄN</t>
        </is>
      </c>
      <c r="E642" t="inlineStr">
        <is>
          <t>LJUNGBY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28991-2024</t>
        </is>
      </c>
      <c r="B643" s="1" t="n">
        <v>45481.49108796296</v>
      </c>
      <c r="C643" s="1" t="n">
        <v>46073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21788-2025</t>
        </is>
      </c>
      <c r="B644" s="1" t="n">
        <v>45783.67510416666</v>
      </c>
      <c r="C644" s="1" t="n">
        <v>46073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16128-2023</t>
        </is>
      </c>
      <c r="B645" s="1" t="n">
        <v>45026</v>
      </c>
      <c r="C645" s="1" t="n">
        <v>46073</v>
      </c>
      <c r="D645" t="inlineStr">
        <is>
          <t>KRONOBERGS LÄN</t>
        </is>
      </c>
      <c r="E645" t="inlineStr">
        <is>
          <t>LJUNGBY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46150-2022</t>
        </is>
      </c>
      <c r="B646" s="1" t="n">
        <v>44847.46701388889</v>
      </c>
      <c r="C646" s="1" t="n">
        <v>46073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54182-2022</t>
        </is>
      </c>
      <c r="B647" s="1" t="n">
        <v>44881</v>
      </c>
      <c r="C647" s="1" t="n">
        <v>46073</v>
      </c>
      <c r="D647" t="inlineStr">
        <is>
          <t>KRONOBERGS LÄN</t>
        </is>
      </c>
      <c r="E647" t="inlineStr">
        <is>
          <t>LJUNGBY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49179-2022</t>
        </is>
      </c>
      <c r="B648" s="1" t="n">
        <v>44860.93721064815</v>
      </c>
      <c r="C648" s="1" t="n">
        <v>46073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61893-2022</t>
        </is>
      </c>
      <c r="B649" s="1" t="n">
        <v>44917</v>
      </c>
      <c r="C649" s="1" t="n">
        <v>46073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28350-2023</t>
        </is>
      </c>
      <c r="B650" s="1" t="n">
        <v>45099.91826388889</v>
      </c>
      <c r="C650" s="1" t="n">
        <v>46073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30561-2025</t>
        </is>
      </c>
      <c r="B651" s="1" t="n">
        <v>45831.3978587963</v>
      </c>
      <c r="C651" s="1" t="n">
        <v>46073</v>
      </c>
      <c r="D651" t="inlineStr">
        <is>
          <t>KRONOBERGS LÄN</t>
        </is>
      </c>
      <c r="E651" t="inlineStr">
        <is>
          <t>LJUNGBY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49550-2023</t>
        </is>
      </c>
      <c r="B652" s="1" t="n">
        <v>45211.63446759259</v>
      </c>
      <c r="C652" s="1" t="n">
        <v>46073</v>
      </c>
      <c r="D652" t="inlineStr">
        <is>
          <t>KRONOBERGS LÄN</t>
        </is>
      </c>
      <c r="E652" t="inlineStr">
        <is>
          <t>LJUNGBY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14608-2024</t>
        </is>
      </c>
      <c r="B653" s="1" t="n">
        <v>45396.86226851852</v>
      </c>
      <c r="C653" s="1" t="n">
        <v>46073</v>
      </c>
      <c r="D653" t="inlineStr">
        <is>
          <t>KRONOBERGS LÄN</t>
        </is>
      </c>
      <c r="E653" t="inlineStr">
        <is>
          <t>LJUNGBY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34477-2025</t>
        </is>
      </c>
      <c r="B654" s="1" t="n">
        <v>45847.3721412037</v>
      </c>
      <c r="C654" s="1" t="n">
        <v>46073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59615-2024</t>
        </is>
      </c>
      <c r="B655" s="1" t="n">
        <v>45638</v>
      </c>
      <c r="C655" s="1" t="n">
        <v>46073</v>
      </c>
      <c r="D655" t="inlineStr">
        <is>
          <t>KRONOBERGS LÄN</t>
        </is>
      </c>
      <c r="E655" t="inlineStr">
        <is>
          <t>LJUNGBY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7004-2025</t>
        </is>
      </c>
      <c r="B656" s="1" t="n">
        <v>45701.59954861111</v>
      </c>
      <c r="C656" s="1" t="n">
        <v>46073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18567-2024</t>
        </is>
      </c>
      <c r="B657" s="1" t="n">
        <v>45425.69540509259</v>
      </c>
      <c r="C657" s="1" t="n">
        <v>46073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4027-2024</t>
        </is>
      </c>
      <c r="B658" s="1" t="n">
        <v>45323</v>
      </c>
      <c r="C658" s="1" t="n">
        <v>46073</v>
      </c>
      <c r="D658" t="inlineStr">
        <is>
          <t>KRONOBERGS LÄN</t>
        </is>
      </c>
      <c r="E658" t="inlineStr">
        <is>
          <t>LJUNGBY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60305-2025</t>
        </is>
      </c>
      <c r="B659" s="1" t="n">
        <v>45994.68217592593</v>
      </c>
      <c r="C659" s="1" t="n">
        <v>46073</v>
      </c>
      <c r="D659" t="inlineStr">
        <is>
          <t>KRONOBERGS LÄN</t>
        </is>
      </c>
      <c r="E659" t="inlineStr">
        <is>
          <t>LJUNGBY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65062-2021</t>
        </is>
      </c>
      <c r="B660" s="1" t="n">
        <v>44515</v>
      </c>
      <c r="C660" s="1" t="n">
        <v>46073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65066-2021</t>
        </is>
      </c>
      <c r="B661" s="1" t="n">
        <v>44515</v>
      </c>
      <c r="C661" s="1" t="n">
        <v>46073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30854-2025</t>
        </is>
      </c>
      <c r="B662" s="1" t="n">
        <v>45831</v>
      </c>
      <c r="C662" s="1" t="n">
        <v>46073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70888-2021</t>
        </is>
      </c>
      <c r="B663" s="1" t="n">
        <v>44538.40638888889</v>
      </c>
      <c r="C663" s="1" t="n">
        <v>46073</v>
      </c>
      <c r="D663" t="inlineStr">
        <is>
          <t>KRONOBERGS LÄN</t>
        </is>
      </c>
      <c r="E663" t="inlineStr">
        <is>
          <t>LJUNGBY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54177-2022</t>
        </is>
      </c>
      <c r="B664" s="1" t="n">
        <v>44881</v>
      </c>
      <c r="C664" s="1" t="n">
        <v>46073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36365-2023</t>
        </is>
      </c>
      <c r="B665" s="1" t="n">
        <v>45152</v>
      </c>
      <c r="C665" s="1" t="n">
        <v>46073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10667-2021</t>
        </is>
      </c>
      <c r="B666" s="1" t="n">
        <v>44258</v>
      </c>
      <c r="C666" s="1" t="n">
        <v>46073</v>
      </c>
      <c r="D666" t="inlineStr">
        <is>
          <t>KRONOBERGS LÄN</t>
        </is>
      </c>
      <c r="E666" t="inlineStr">
        <is>
          <t>LJUNGBY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29408-2025</t>
        </is>
      </c>
      <c r="B667" s="1" t="n">
        <v>45824.61681712963</v>
      </c>
      <c r="C667" s="1" t="n">
        <v>46073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14402-2024</t>
        </is>
      </c>
      <c r="B668" s="1" t="n">
        <v>45394.35633101852</v>
      </c>
      <c r="C668" s="1" t="n">
        <v>46073</v>
      </c>
      <c r="D668" t="inlineStr">
        <is>
          <t>KRONOBERGS LÄN</t>
        </is>
      </c>
      <c r="E668" t="inlineStr">
        <is>
          <t>LJUNGBY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23075-2021</t>
        </is>
      </c>
      <c r="B669" s="1" t="n">
        <v>44330.36730324074</v>
      </c>
      <c r="C669" s="1" t="n">
        <v>46073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7008-2025</t>
        </is>
      </c>
      <c r="B670" s="1" t="n">
        <v>45701.60341435186</v>
      </c>
      <c r="C670" s="1" t="n">
        <v>46073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33499-2023</t>
        </is>
      </c>
      <c r="B671" s="1" t="n">
        <v>45131</v>
      </c>
      <c r="C671" s="1" t="n">
        <v>46073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62717-2023</t>
        </is>
      </c>
      <c r="B672" s="1" t="n">
        <v>45271</v>
      </c>
      <c r="C672" s="1" t="n">
        <v>46073</v>
      </c>
      <c r="D672" t="inlineStr">
        <is>
          <t>KRONOBERGS LÄN</t>
        </is>
      </c>
      <c r="E672" t="inlineStr">
        <is>
          <t>LJUNGBY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1064-2024</t>
        </is>
      </c>
      <c r="B673" s="1" t="n">
        <v>45301.98575231482</v>
      </c>
      <c r="C673" s="1" t="n">
        <v>46073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1062-2024</t>
        </is>
      </c>
      <c r="B674" s="1" t="n">
        <v>45301.98247685185</v>
      </c>
      <c r="C674" s="1" t="n">
        <v>46073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34475-2025</t>
        </is>
      </c>
      <c r="B675" s="1" t="n">
        <v>45847</v>
      </c>
      <c r="C675" s="1" t="n">
        <v>46073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60480-2025</t>
        </is>
      </c>
      <c r="B676" s="1" t="n">
        <v>45995.59618055556</v>
      </c>
      <c r="C676" s="1" t="n">
        <v>46073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61138-2024</t>
        </is>
      </c>
      <c r="B677" s="1" t="n">
        <v>45645.58436342593</v>
      </c>
      <c r="C677" s="1" t="n">
        <v>46073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51274-2021</t>
        </is>
      </c>
      <c r="B678" s="1" t="n">
        <v>44461</v>
      </c>
      <c r="C678" s="1" t="n">
        <v>46073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10085-2022</t>
        </is>
      </c>
      <c r="B679" s="1" t="n">
        <v>44621.66707175926</v>
      </c>
      <c r="C679" s="1" t="n">
        <v>46073</v>
      </c>
      <c r="D679" t="inlineStr">
        <is>
          <t>KRONOBERGS LÄN</t>
        </is>
      </c>
      <c r="E679" t="inlineStr">
        <is>
          <t>LJUNGBY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22800-2022</t>
        </is>
      </c>
      <c r="B680" s="1" t="n">
        <v>44715</v>
      </c>
      <c r="C680" s="1" t="n">
        <v>46073</v>
      </c>
      <c r="D680" t="inlineStr">
        <is>
          <t>KRONOBERGS LÄN</t>
        </is>
      </c>
      <c r="E680" t="inlineStr">
        <is>
          <t>LJUNGBY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29406-2025</t>
        </is>
      </c>
      <c r="B681" s="1" t="n">
        <v>45824.61572916667</v>
      </c>
      <c r="C681" s="1" t="n">
        <v>46073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13998-2025</t>
        </is>
      </c>
      <c r="B682" s="1" t="n">
        <v>45739.84453703704</v>
      </c>
      <c r="C682" s="1" t="n">
        <v>46073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2860-2026</t>
        </is>
      </c>
      <c r="B683" s="1" t="n">
        <v>46038.49296296296</v>
      </c>
      <c r="C683" s="1" t="n">
        <v>46073</v>
      </c>
      <c r="D683" t="inlineStr">
        <is>
          <t>KRONOBERGS LÄN</t>
        </is>
      </c>
      <c r="E683" t="inlineStr">
        <is>
          <t>LJUNGBY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25999-2025</t>
        </is>
      </c>
      <c r="B684" s="1" t="n">
        <v>45804.66229166667</v>
      </c>
      <c r="C684" s="1" t="n">
        <v>46073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26001-2025</t>
        </is>
      </c>
      <c r="B685" s="1" t="n">
        <v>45804</v>
      </c>
      <c r="C685" s="1" t="n">
        <v>46073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14561-2024</t>
        </is>
      </c>
      <c r="B686" s="1" t="n">
        <v>45394.73528935185</v>
      </c>
      <c r="C686" s="1" t="n">
        <v>46073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35170-2023</t>
        </is>
      </c>
      <c r="B687" s="1" t="n">
        <v>45145.58085648148</v>
      </c>
      <c r="C687" s="1" t="n">
        <v>46073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12131-2021</t>
        </is>
      </c>
      <c r="B688" s="1" t="n">
        <v>44266</v>
      </c>
      <c r="C688" s="1" t="n">
        <v>46073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2648-2025</t>
        </is>
      </c>
      <c r="B689" s="1" t="n">
        <v>45676.57688657408</v>
      </c>
      <c r="C689" s="1" t="n">
        <v>46073</v>
      </c>
      <c r="D689" t="inlineStr">
        <is>
          <t>KRONOBERGS LÄN</t>
        </is>
      </c>
      <c r="E689" t="inlineStr">
        <is>
          <t>LJUNGBY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16274-2025</t>
        </is>
      </c>
      <c r="B690" s="1" t="n">
        <v>45750.94241898148</v>
      </c>
      <c r="C690" s="1" t="n">
        <v>46073</v>
      </c>
      <c r="D690" t="inlineStr">
        <is>
          <t>KRONOBERGS LÄN</t>
        </is>
      </c>
      <c r="E690" t="inlineStr">
        <is>
          <t>LJUNGBY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51276-2021</t>
        </is>
      </c>
      <c r="B691" s="1" t="n">
        <v>44461.57160879629</v>
      </c>
      <c r="C691" s="1" t="n">
        <v>46073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46856-2021</t>
        </is>
      </c>
      <c r="B692" s="1" t="n">
        <v>44446</v>
      </c>
      <c r="C692" s="1" t="n">
        <v>46073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60068-2025</t>
        </is>
      </c>
      <c r="B693" s="1" t="n">
        <v>45993.66306712963</v>
      </c>
      <c r="C693" s="1" t="n">
        <v>46073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25152-2023</t>
        </is>
      </c>
      <c r="B694" s="1" t="n">
        <v>45079</v>
      </c>
      <c r="C694" s="1" t="n">
        <v>46073</v>
      </c>
      <c r="D694" t="inlineStr">
        <is>
          <t>KRONOBERGS LÄN</t>
        </is>
      </c>
      <c r="E694" t="inlineStr">
        <is>
          <t>LJUNGBY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13388-2023</t>
        </is>
      </c>
      <c r="B695" s="1" t="n">
        <v>45005</v>
      </c>
      <c r="C695" s="1" t="n">
        <v>46073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63432-2023</t>
        </is>
      </c>
      <c r="B696" s="1" t="n">
        <v>45274.57935185185</v>
      </c>
      <c r="C696" s="1" t="n">
        <v>46073</v>
      </c>
      <c r="D696" t="inlineStr">
        <is>
          <t>KRONOBERGS LÄN</t>
        </is>
      </c>
      <c r="E696" t="inlineStr">
        <is>
          <t>LJUNGBY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56832-2022</t>
        </is>
      </c>
      <c r="B697" s="1" t="n">
        <v>44894.45888888889</v>
      </c>
      <c r="C697" s="1" t="n">
        <v>46073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35167-2023</t>
        </is>
      </c>
      <c r="B698" s="1" t="n">
        <v>45145.57798611111</v>
      </c>
      <c r="C698" s="1" t="n">
        <v>46073</v>
      </c>
      <c r="D698" t="inlineStr">
        <is>
          <t>KRONOBERGS LÄN</t>
        </is>
      </c>
      <c r="E698" t="inlineStr">
        <is>
          <t>LJUNGBY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57875-2023</t>
        </is>
      </c>
      <c r="B699" s="1" t="n">
        <v>45247.46569444444</v>
      </c>
      <c r="C699" s="1" t="n">
        <v>46073</v>
      </c>
      <c r="D699" t="inlineStr">
        <is>
          <t>KRONOBERGS LÄN</t>
        </is>
      </c>
      <c r="E699" t="inlineStr">
        <is>
          <t>LJUNGBY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61676-2024</t>
        </is>
      </c>
      <c r="B700" s="1" t="n">
        <v>45647</v>
      </c>
      <c r="C700" s="1" t="n">
        <v>46073</v>
      </c>
      <c r="D700" t="inlineStr">
        <is>
          <t>KRONOBERGS LÄN</t>
        </is>
      </c>
      <c r="E700" t="inlineStr">
        <is>
          <t>LJUNGBY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29332-2024</t>
        </is>
      </c>
      <c r="B701" s="1" t="n">
        <v>45483</v>
      </c>
      <c r="C701" s="1" t="n">
        <v>46073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60058-2025</t>
        </is>
      </c>
      <c r="B702" s="1" t="n">
        <v>45993.65320601852</v>
      </c>
      <c r="C702" s="1" t="n">
        <v>46073</v>
      </c>
      <c r="D702" t="inlineStr">
        <is>
          <t>KRONOBERGS LÄN</t>
        </is>
      </c>
      <c r="E702" t="inlineStr">
        <is>
          <t>LJUNGBY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35170-2025</t>
        </is>
      </c>
      <c r="B703" s="1" t="n">
        <v>45852.75837962963</v>
      </c>
      <c r="C703" s="1" t="n">
        <v>46073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34612-2025</t>
        </is>
      </c>
      <c r="B704" s="1" t="n">
        <v>45847.67734953704</v>
      </c>
      <c r="C704" s="1" t="n">
        <v>46073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34616-2025</t>
        </is>
      </c>
      <c r="B705" s="1" t="n">
        <v>45847.67871527778</v>
      </c>
      <c r="C705" s="1" t="n">
        <v>46073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36985-2025</t>
        </is>
      </c>
      <c r="B706" s="1" t="n">
        <v>45874.65034722222</v>
      </c>
      <c r="C706" s="1" t="n">
        <v>46073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31845-2024</t>
        </is>
      </c>
      <c r="B707" s="1" t="n">
        <v>45509.66609953704</v>
      </c>
      <c r="C707" s="1" t="n">
        <v>46073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61666-2024</t>
        </is>
      </c>
      <c r="B708" s="1" t="n">
        <v>45647</v>
      </c>
      <c r="C708" s="1" t="n">
        <v>46073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61670-2024</t>
        </is>
      </c>
      <c r="B709" s="1" t="n">
        <v>45647</v>
      </c>
      <c r="C709" s="1" t="n">
        <v>46073</v>
      </c>
      <c r="D709" t="inlineStr">
        <is>
          <t>KRONOBERGS LÄN</t>
        </is>
      </c>
      <c r="E709" t="inlineStr">
        <is>
          <t>LJUNGBY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25997-2025</t>
        </is>
      </c>
      <c r="B710" s="1" t="n">
        <v>45804.6612962963</v>
      </c>
      <c r="C710" s="1" t="n">
        <v>46073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1061-2024</t>
        </is>
      </c>
      <c r="B711" s="1" t="n">
        <v>45301.98100694444</v>
      </c>
      <c r="C711" s="1" t="n">
        <v>46073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12405-2023</t>
        </is>
      </c>
      <c r="B712" s="1" t="n">
        <v>44999.50461805556</v>
      </c>
      <c r="C712" s="1" t="n">
        <v>46073</v>
      </c>
      <c r="D712" t="inlineStr">
        <is>
          <t>KRONOBERGS LÄN</t>
        </is>
      </c>
      <c r="E712" t="inlineStr">
        <is>
          <t>LJUNGBY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49552-2023</t>
        </is>
      </c>
      <c r="B713" s="1" t="n">
        <v>45211.63712962963</v>
      </c>
      <c r="C713" s="1" t="n">
        <v>46073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61673-2024</t>
        </is>
      </c>
      <c r="B714" s="1" t="n">
        <v>45647</v>
      </c>
      <c r="C714" s="1" t="n">
        <v>46073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37087-2025</t>
        </is>
      </c>
      <c r="B715" s="1" t="n">
        <v>45875.45658564815</v>
      </c>
      <c r="C715" s="1" t="n">
        <v>46073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37188-2025</t>
        </is>
      </c>
      <c r="B716" s="1" t="n">
        <v>45875.64696759259</v>
      </c>
      <c r="C716" s="1" t="n">
        <v>46073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35903-2022</t>
        </is>
      </c>
      <c r="B717" s="1" t="n">
        <v>44802</v>
      </c>
      <c r="C717" s="1" t="n">
        <v>46073</v>
      </c>
      <c r="D717" t="inlineStr">
        <is>
          <t>KRONOBERGS LÄN</t>
        </is>
      </c>
      <c r="E717" t="inlineStr">
        <is>
          <t>LJUNGBY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37187-2025</t>
        </is>
      </c>
      <c r="B718" s="1" t="n">
        <v>45875.6449537037</v>
      </c>
      <c r="C718" s="1" t="n">
        <v>46073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61150-2024</t>
        </is>
      </c>
      <c r="B719" s="1" t="n">
        <v>45645.58762731482</v>
      </c>
      <c r="C719" s="1" t="n">
        <v>46073</v>
      </c>
      <c r="D719" t="inlineStr">
        <is>
          <t>KRONOBERGS LÄN</t>
        </is>
      </c>
      <c r="E719" t="inlineStr">
        <is>
          <t>LJUNGBY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27843-2022</t>
        </is>
      </c>
      <c r="B720" s="1" t="n">
        <v>44743.61965277778</v>
      </c>
      <c r="C720" s="1" t="n">
        <v>46073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37396-2025</t>
        </is>
      </c>
      <c r="B721" s="1" t="n">
        <v>45877.42953703704</v>
      </c>
      <c r="C721" s="1" t="n">
        <v>46073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37688-2025</t>
        </is>
      </c>
      <c r="B722" s="1" t="n">
        <v>45880.56395833333</v>
      </c>
      <c r="C722" s="1" t="n">
        <v>46073</v>
      </c>
      <c r="D722" t="inlineStr">
        <is>
          <t>KRONOBERGS LÄN</t>
        </is>
      </c>
      <c r="E722" t="inlineStr">
        <is>
          <t>LJUNGBY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37661-2025</t>
        </is>
      </c>
      <c r="B723" s="1" t="n">
        <v>45880</v>
      </c>
      <c r="C723" s="1" t="n">
        <v>46073</v>
      </c>
      <c r="D723" t="inlineStr">
        <is>
          <t>KRONOBERGS LÄN</t>
        </is>
      </c>
      <c r="E723" t="inlineStr">
        <is>
          <t>LJUNGBY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57467-2024</t>
        </is>
      </c>
      <c r="B724" s="1" t="n">
        <v>45630.32984953704</v>
      </c>
      <c r="C724" s="1" t="n">
        <v>46073</v>
      </c>
      <c r="D724" t="inlineStr">
        <is>
          <t>KRONOBERGS LÄN</t>
        </is>
      </c>
      <c r="E724" t="inlineStr">
        <is>
          <t>LJUNGBY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37967-2025</t>
        </is>
      </c>
      <c r="B725" s="1" t="n">
        <v>45881.66684027778</v>
      </c>
      <c r="C725" s="1" t="n">
        <v>46073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37779-2025</t>
        </is>
      </c>
      <c r="B726" s="1" t="n">
        <v>45880.86574074074</v>
      </c>
      <c r="C726" s="1" t="n">
        <v>46073</v>
      </c>
      <c r="D726" t="inlineStr">
        <is>
          <t>KRONOBERGS LÄN</t>
        </is>
      </c>
      <c r="E726" t="inlineStr">
        <is>
          <t>LJUNGBY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37793-2025</t>
        </is>
      </c>
      <c r="B727" s="1" t="n">
        <v>45881.31761574074</v>
      </c>
      <c r="C727" s="1" t="n">
        <v>46073</v>
      </c>
      <c r="D727" t="inlineStr">
        <is>
          <t>KRONOBERGS LÄN</t>
        </is>
      </c>
      <c r="E727" t="inlineStr">
        <is>
          <t>LJUNGBY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37805-2025</t>
        </is>
      </c>
      <c r="B728" s="1" t="n">
        <v>45881</v>
      </c>
      <c r="C728" s="1" t="n">
        <v>46073</v>
      </c>
      <c r="D728" t="inlineStr">
        <is>
          <t>KRONOBERGS LÄN</t>
        </is>
      </c>
      <c r="E728" t="inlineStr">
        <is>
          <t>LJUNGBY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49081-2024</t>
        </is>
      </c>
      <c r="B729" s="1" t="n">
        <v>45594.62881944444</v>
      </c>
      <c r="C729" s="1" t="n">
        <v>46073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32389-2025</t>
        </is>
      </c>
      <c r="B730" s="1" t="n">
        <v>45837.90292824074</v>
      </c>
      <c r="C730" s="1" t="n">
        <v>46073</v>
      </c>
      <c r="D730" t="inlineStr">
        <is>
          <t>KRONOBERGS LÄN</t>
        </is>
      </c>
      <c r="E730" t="inlineStr">
        <is>
          <t>LJUNGBY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63719-2023</t>
        </is>
      </c>
      <c r="B731" s="1" t="n">
        <v>45275</v>
      </c>
      <c r="C731" s="1" t="n">
        <v>46073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45760-2021</t>
        </is>
      </c>
      <c r="B732" s="1" t="n">
        <v>44441</v>
      </c>
      <c r="C732" s="1" t="n">
        <v>46073</v>
      </c>
      <c r="D732" t="inlineStr">
        <is>
          <t>KRONOBERGS LÄN</t>
        </is>
      </c>
      <c r="E732" t="inlineStr">
        <is>
          <t>LJUNGBY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31968-2023</t>
        </is>
      </c>
      <c r="B733" s="1" t="n">
        <v>45119</v>
      </c>
      <c r="C733" s="1" t="n">
        <v>46073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38668-2025</t>
        </is>
      </c>
      <c r="B734" s="1" t="n">
        <v>45884.62045138889</v>
      </c>
      <c r="C734" s="1" t="n">
        <v>46073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47805-2023</t>
        </is>
      </c>
      <c r="B735" s="1" t="n">
        <v>45204.32359953703</v>
      </c>
      <c r="C735" s="1" t="n">
        <v>46073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44980.62431712963</v>
      </c>
      <c r="C736" s="1" t="n">
        <v>46073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52291-2023</t>
        </is>
      </c>
      <c r="B737" s="1" t="n">
        <v>45224.59289351852</v>
      </c>
      <c r="C737" s="1" t="n">
        <v>46073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11552-2025</t>
        </is>
      </c>
      <c r="B738" s="1" t="n">
        <v>45727.34787037037</v>
      </c>
      <c r="C738" s="1" t="n">
        <v>46073</v>
      </c>
      <c r="D738" t="inlineStr">
        <is>
          <t>KRONOBERGS LÄN</t>
        </is>
      </c>
      <c r="E738" t="inlineStr">
        <is>
          <t>LJUNGBY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32045-2024</t>
        </is>
      </c>
      <c r="B739" s="1" t="n">
        <v>45510.89869212963</v>
      </c>
      <c r="C739" s="1" t="n">
        <v>46073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61527-2025</t>
        </is>
      </c>
      <c r="B740" s="1" t="n">
        <v>46001.69814814815</v>
      </c>
      <c r="C740" s="1" t="n">
        <v>46073</v>
      </c>
      <c r="D740" t="inlineStr">
        <is>
          <t>KRONOBERGS LÄN</t>
        </is>
      </c>
      <c r="E740" t="inlineStr">
        <is>
          <t>LJUNGBY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61746-2025</t>
        </is>
      </c>
      <c r="B741" s="1" t="n">
        <v>46002.60728009259</v>
      </c>
      <c r="C741" s="1" t="n">
        <v>46073</v>
      </c>
      <c r="D741" t="inlineStr">
        <is>
          <t>KRONOBERGS LÄN</t>
        </is>
      </c>
      <c r="E741" t="inlineStr">
        <is>
          <t>LJUNGBY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15571-2025</t>
        </is>
      </c>
      <c r="B742" s="1" t="n">
        <v>45747.78081018518</v>
      </c>
      <c r="C742" s="1" t="n">
        <v>46073</v>
      </c>
      <c r="D742" t="inlineStr">
        <is>
          <t>KRONOBERGS LÄN</t>
        </is>
      </c>
      <c r="E742" t="inlineStr">
        <is>
          <t>LJUNGBY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13287-2021</t>
        </is>
      </c>
      <c r="B743" s="1" t="n">
        <v>44272</v>
      </c>
      <c r="C743" s="1" t="n">
        <v>46073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44129-2023</t>
        </is>
      </c>
      <c r="B744" s="1" t="n">
        <v>45188</v>
      </c>
      <c r="C744" s="1" t="n">
        <v>46073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14718-2025</t>
        </is>
      </c>
      <c r="B745" s="1" t="n">
        <v>45742.61196759259</v>
      </c>
      <c r="C745" s="1" t="n">
        <v>46073</v>
      </c>
      <c r="D745" t="inlineStr">
        <is>
          <t>KRONOBERGS LÄN</t>
        </is>
      </c>
      <c r="E745" t="inlineStr">
        <is>
          <t>LJUNGBY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52363-2023</t>
        </is>
      </c>
      <c r="B746" s="1" t="n">
        <v>45224.70244212963</v>
      </c>
      <c r="C746" s="1" t="n">
        <v>46073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61637-2024</t>
        </is>
      </c>
      <c r="B747" s="1" t="n">
        <v>45646.67726851852</v>
      </c>
      <c r="C747" s="1" t="n">
        <v>46073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17298-2023</t>
        </is>
      </c>
      <c r="B748" s="1" t="n">
        <v>45035</v>
      </c>
      <c r="C748" s="1" t="n">
        <v>46073</v>
      </c>
      <c r="D748" t="inlineStr">
        <is>
          <t>KRONOBERGS LÄN</t>
        </is>
      </c>
      <c r="E748" t="inlineStr">
        <is>
          <t>LJUNGBY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7535-2025</t>
        </is>
      </c>
      <c r="B749" s="1" t="n">
        <v>45705.5654050926</v>
      </c>
      <c r="C749" s="1" t="n">
        <v>46073</v>
      </c>
      <c r="D749" t="inlineStr">
        <is>
          <t>KRONOBERGS LÄN</t>
        </is>
      </c>
      <c r="E749" t="inlineStr">
        <is>
          <t>LJUNGBY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4386-2026</t>
        </is>
      </c>
      <c r="B750" s="1" t="n">
        <v>46045.56550925926</v>
      </c>
      <c r="C750" s="1" t="n">
        <v>46073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40092-2022</t>
        </is>
      </c>
      <c r="B751" s="1" t="n">
        <v>44820</v>
      </c>
      <c r="C751" s="1" t="n">
        <v>46073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15364-2025</t>
        </is>
      </c>
      <c r="B752" s="1" t="n">
        <v>45747.39719907408</v>
      </c>
      <c r="C752" s="1" t="n">
        <v>46073</v>
      </c>
      <c r="D752" t="inlineStr">
        <is>
          <t>KRONOBERGS LÄN</t>
        </is>
      </c>
      <c r="E752" t="inlineStr">
        <is>
          <t>LJUNGBY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56826-2024</t>
        </is>
      </c>
      <c r="B753" s="1" t="n">
        <v>45628.49322916667</v>
      </c>
      <c r="C753" s="1" t="n">
        <v>46073</v>
      </c>
      <c r="D753" t="inlineStr">
        <is>
          <t>KRONOBERGS LÄN</t>
        </is>
      </c>
      <c r="E753" t="inlineStr">
        <is>
          <t>LJUNGBY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4413-2026</t>
        </is>
      </c>
      <c r="B754" s="1" t="n">
        <v>46045.60069444445</v>
      </c>
      <c r="C754" s="1" t="n">
        <v>46073</v>
      </c>
      <c r="D754" t="inlineStr">
        <is>
          <t>KRONOBERGS LÄN</t>
        </is>
      </c>
      <c r="E754" t="inlineStr">
        <is>
          <t>LJUNGBY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34434-2021</t>
        </is>
      </c>
      <c r="B755" s="1" t="n">
        <v>44380</v>
      </c>
      <c r="C755" s="1" t="n">
        <v>46073</v>
      </c>
      <c r="D755" t="inlineStr">
        <is>
          <t>KRONOBERGS LÄN</t>
        </is>
      </c>
      <c r="E755" t="inlineStr">
        <is>
          <t>LJUNGBY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44280-2023</t>
        </is>
      </c>
      <c r="B756" s="1" t="n">
        <v>45188.62355324074</v>
      </c>
      <c r="C756" s="1" t="n">
        <v>46073</v>
      </c>
      <c r="D756" t="inlineStr">
        <is>
          <t>KRONOBERGS LÄN</t>
        </is>
      </c>
      <c r="E756" t="inlineStr">
        <is>
          <t>LJUNGBY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62206-2025</t>
        </is>
      </c>
      <c r="B757" s="1" t="n">
        <v>46006.5621875</v>
      </c>
      <c r="C757" s="1" t="n">
        <v>46073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62153-2025</t>
        </is>
      </c>
      <c r="B758" s="1" t="n">
        <v>46006.48550925926</v>
      </c>
      <c r="C758" s="1" t="n">
        <v>46073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4381-2026</t>
        </is>
      </c>
      <c r="B759" s="1" t="n">
        <v>46045.56234953704</v>
      </c>
      <c r="C759" s="1" t="n">
        <v>46073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22122-2022</t>
        </is>
      </c>
      <c r="B760" s="1" t="n">
        <v>44712.32885416667</v>
      </c>
      <c r="C760" s="1" t="n">
        <v>46073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16910-2023</t>
        </is>
      </c>
      <c r="B761" s="1" t="n">
        <v>45033</v>
      </c>
      <c r="C761" s="1" t="n">
        <v>46073</v>
      </c>
      <c r="D761" t="inlineStr">
        <is>
          <t>KRONOBERGS LÄN</t>
        </is>
      </c>
      <c r="E761" t="inlineStr">
        <is>
          <t>LJUNGBY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4392-2026</t>
        </is>
      </c>
      <c r="B762" s="1" t="n">
        <v>46045.57591435185</v>
      </c>
      <c r="C762" s="1" t="n">
        <v>46073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4396-2026</t>
        </is>
      </c>
      <c r="B763" s="1" t="n">
        <v>46045.5840625</v>
      </c>
      <c r="C763" s="1" t="n">
        <v>46073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29335-2024</t>
        </is>
      </c>
      <c r="B764" s="1" t="n">
        <v>45483</v>
      </c>
      <c r="C764" s="1" t="n">
        <v>46073</v>
      </c>
      <c r="D764" t="inlineStr">
        <is>
          <t>KRONOBERGS LÄN</t>
        </is>
      </c>
      <c r="E764" t="inlineStr">
        <is>
          <t>LJUNGBY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62249-2025</t>
        </is>
      </c>
      <c r="B765" s="1" t="n">
        <v>46006.6075462963</v>
      </c>
      <c r="C765" s="1" t="n">
        <v>46073</v>
      </c>
      <c r="D765" t="inlineStr">
        <is>
          <t>KRONOBERGS LÄN</t>
        </is>
      </c>
      <c r="E765" t="inlineStr">
        <is>
          <t>LJUNGBY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15960-2025</t>
        </is>
      </c>
      <c r="B766" s="1" t="n">
        <v>45749.53158564815</v>
      </c>
      <c r="C766" s="1" t="n">
        <v>46073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39833-2023</t>
        </is>
      </c>
      <c r="B767" s="1" t="n">
        <v>45168.33028935185</v>
      </c>
      <c r="C767" s="1" t="n">
        <v>46073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33481-2021</t>
        </is>
      </c>
      <c r="B768" s="1" t="n">
        <v>44377</v>
      </c>
      <c r="C768" s="1" t="n">
        <v>46073</v>
      </c>
      <c r="D768" t="inlineStr">
        <is>
          <t>KRONOBERGS LÄN</t>
        </is>
      </c>
      <c r="E768" t="inlineStr">
        <is>
          <t>LJUNGBY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9334-2025</t>
        </is>
      </c>
      <c r="B769" s="1" t="n">
        <v>45714.80385416667</v>
      </c>
      <c r="C769" s="1" t="n">
        <v>46073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62253-2025</t>
        </is>
      </c>
      <c r="B770" s="1" t="n">
        <v>46006.61020833333</v>
      </c>
      <c r="C770" s="1" t="n">
        <v>46073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62670-2025</t>
        </is>
      </c>
      <c r="B771" s="1" t="n">
        <v>46008.44584490741</v>
      </c>
      <c r="C771" s="1" t="n">
        <v>46073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62672-2025</t>
        </is>
      </c>
      <c r="B772" s="1" t="n">
        <v>46008.44820601852</v>
      </c>
      <c r="C772" s="1" t="n">
        <v>46073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46073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10939-2023</t>
        </is>
      </c>
      <c r="B774" s="1" t="n">
        <v>44991.53373842593</v>
      </c>
      <c r="C774" s="1" t="n">
        <v>46073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62576-2025</t>
        </is>
      </c>
      <c r="B775" s="1" t="n">
        <v>46007.76164351852</v>
      </c>
      <c r="C775" s="1" t="n">
        <v>46073</v>
      </c>
      <c r="D775" t="inlineStr">
        <is>
          <t>KRONOBERGS LÄN</t>
        </is>
      </c>
      <c r="E775" t="inlineStr">
        <is>
          <t>LJUNGBY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18343-2025</t>
        </is>
      </c>
      <c r="B776" s="1" t="n">
        <v>45762</v>
      </c>
      <c r="C776" s="1" t="n">
        <v>46073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30385-2023</t>
        </is>
      </c>
      <c r="B777" s="1" t="n">
        <v>45111</v>
      </c>
      <c r="C777" s="1" t="n">
        <v>46073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55342-2024</t>
        </is>
      </c>
      <c r="B778" s="1" t="n">
        <v>45621</v>
      </c>
      <c r="C778" s="1" t="n">
        <v>46073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62198-2023</t>
        </is>
      </c>
      <c r="B779" s="1" t="n">
        <v>45267.46962962963</v>
      </c>
      <c r="C779" s="1" t="n">
        <v>46073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60364-2024</t>
        </is>
      </c>
      <c r="B780" s="1" t="n">
        <v>45643.45525462963</v>
      </c>
      <c r="C780" s="1" t="n">
        <v>46073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10849-2023</t>
        </is>
      </c>
      <c r="B781" s="1" t="n">
        <v>44991.35916666667</v>
      </c>
      <c r="C781" s="1" t="n">
        <v>46073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14796-2025</t>
        </is>
      </c>
      <c r="B782" s="1" t="n">
        <v>45742.89054398148</v>
      </c>
      <c r="C782" s="1" t="n">
        <v>46073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10925-2023</t>
        </is>
      </c>
      <c r="B783" s="1" t="n">
        <v>44991</v>
      </c>
      <c r="C783" s="1" t="n">
        <v>46073</v>
      </c>
      <c r="D783" t="inlineStr">
        <is>
          <t>KRONOBERGS LÄN</t>
        </is>
      </c>
      <c r="E783" t="inlineStr">
        <is>
          <t>LJUNGBY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18233-2025</t>
        </is>
      </c>
      <c r="B784" s="1" t="n">
        <v>45761</v>
      </c>
      <c r="C784" s="1" t="n">
        <v>46073</v>
      </c>
      <c r="D784" t="inlineStr">
        <is>
          <t>KRONOBERGS LÄN</t>
        </is>
      </c>
      <c r="E784" t="inlineStr">
        <is>
          <t>LJUNGBY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62552-2025</t>
        </is>
      </c>
      <c r="B785" s="1" t="n">
        <v>46007.67348379629</v>
      </c>
      <c r="C785" s="1" t="n">
        <v>46073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49747-2023</t>
        </is>
      </c>
      <c r="B786" s="1" t="n">
        <v>45212</v>
      </c>
      <c r="C786" s="1" t="n">
        <v>46073</v>
      </c>
      <c r="D786" t="inlineStr">
        <is>
          <t>KRONOBERGS LÄN</t>
        </is>
      </c>
      <c r="E786" t="inlineStr">
        <is>
          <t>LJUNGBY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62292-2025</t>
        </is>
      </c>
      <c r="B787" s="1" t="n">
        <v>46006.63733796297</v>
      </c>
      <c r="C787" s="1" t="n">
        <v>46073</v>
      </c>
      <c r="D787" t="inlineStr">
        <is>
          <t>KRONOBERGS LÄN</t>
        </is>
      </c>
      <c r="E787" t="inlineStr">
        <is>
          <t>LJUNGBY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6275-2025</t>
        </is>
      </c>
      <c r="B788" s="1" t="n">
        <v>45698</v>
      </c>
      <c r="C788" s="1" t="n">
        <v>46073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20168-2023</t>
        </is>
      </c>
      <c r="B789" s="1" t="n">
        <v>45055.49951388889</v>
      </c>
      <c r="C789" s="1" t="n">
        <v>46073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54716-2023</t>
        </is>
      </c>
      <c r="B790" s="1" t="n">
        <v>45236.35502314815</v>
      </c>
      <c r="C790" s="1" t="n">
        <v>46073</v>
      </c>
      <c r="D790" t="inlineStr">
        <is>
          <t>KRONOBERGS LÄN</t>
        </is>
      </c>
      <c r="E790" t="inlineStr">
        <is>
          <t>LJUNGBY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62266-2025</t>
        </is>
      </c>
      <c r="B791" s="1" t="n">
        <v>46006.61700231482</v>
      </c>
      <c r="C791" s="1" t="n">
        <v>46073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13229-2025</t>
        </is>
      </c>
      <c r="B792" s="1" t="n">
        <v>45735.46643518518</v>
      </c>
      <c r="C792" s="1" t="n">
        <v>46073</v>
      </c>
      <c r="D792" t="inlineStr">
        <is>
          <t>KRONOBERGS LÄN</t>
        </is>
      </c>
      <c r="E792" t="inlineStr">
        <is>
          <t>LJUNGBY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62664-2025</t>
        </is>
      </c>
      <c r="B793" s="1" t="n">
        <v>46008.43641203704</v>
      </c>
      <c r="C793" s="1" t="n">
        <v>46073</v>
      </c>
      <c r="D793" t="inlineStr">
        <is>
          <t>KRONOBERGS LÄN</t>
        </is>
      </c>
      <c r="E793" t="inlineStr">
        <is>
          <t>LJUNGBY</t>
        </is>
      </c>
      <c r="F793" t="inlineStr">
        <is>
          <t>Kommuner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62564-2025</t>
        </is>
      </c>
      <c r="B794" s="1" t="n">
        <v>46007.69709490741</v>
      </c>
      <c r="C794" s="1" t="n">
        <v>46073</v>
      </c>
      <c r="D794" t="inlineStr">
        <is>
          <t>KRONOBERGS LÄN</t>
        </is>
      </c>
      <c r="E794" t="inlineStr">
        <is>
          <t>LJUNGBY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323-2022</t>
        </is>
      </c>
      <c r="B795" s="1" t="n">
        <v>44565.57157407407</v>
      </c>
      <c r="C795" s="1" t="n">
        <v>46073</v>
      </c>
      <c r="D795" t="inlineStr">
        <is>
          <t>KRONOBERGS LÄN</t>
        </is>
      </c>
      <c r="E795" t="inlineStr">
        <is>
          <t>LJUNGBY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343-2022</t>
        </is>
      </c>
      <c r="B796" s="1" t="n">
        <v>44565</v>
      </c>
      <c r="C796" s="1" t="n">
        <v>46073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40898-2023</t>
        </is>
      </c>
      <c r="B797" s="1" t="n">
        <v>45169</v>
      </c>
      <c r="C797" s="1" t="n">
        <v>46073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62640-2025</t>
        </is>
      </c>
      <c r="B798" s="1" t="n">
        <v>46008.36756944445</v>
      </c>
      <c r="C798" s="1" t="n">
        <v>46073</v>
      </c>
      <c r="D798" t="inlineStr">
        <is>
          <t>KRONOBERGS LÄN</t>
        </is>
      </c>
      <c r="E798" t="inlineStr">
        <is>
          <t>LJUNGBY</t>
        </is>
      </c>
      <c r="F798" t="inlineStr">
        <is>
          <t>Kommuner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5069-2026</t>
        </is>
      </c>
      <c r="B799" s="1" t="n">
        <v>46049.50263888889</v>
      </c>
      <c r="C799" s="1" t="n">
        <v>46073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5530-2026</t>
        </is>
      </c>
      <c r="B800" s="1" t="n">
        <v>46050.65569444445</v>
      </c>
      <c r="C800" s="1" t="n">
        <v>46073</v>
      </c>
      <c r="D800" t="inlineStr">
        <is>
          <t>KRONOBERGS LÄN</t>
        </is>
      </c>
      <c r="E800" t="inlineStr">
        <is>
          <t>LJUNGBY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62948-2025</t>
        </is>
      </c>
      <c r="B801" s="1" t="n">
        <v>46009.44583333333</v>
      </c>
      <c r="C801" s="1" t="n">
        <v>46073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37689-2022</t>
        </is>
      </c>
      <c r="B802" s="1" t="n">
        <v>44810.49734953704</v>
      </c>
      <c r="C802" s="1" t="n">
        <v>46073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47706-2021</t>
        </is>
      </c>
      <c r="B803" s="1" t="n">
        <v>44448</v>
      </c>
      <c r="C803" s="1" t="n">
        <v>46073</v>
      </c>
      <c r="D803" t="inlineStr">
        <is>
          <t>KRONOBERGS LÄN</t>
        </is>
      </c>
      <c r="E803" t="inlineStr">
        <is>
          <t>LJUNGBY</t>
        </is>
      </c>
      <c r="F803" t="inlineStr">
        <is>
          <t>Kyrkan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62668-2025</t>
        </is>
      </c>
      <c r="B804" s="1" t="n">
        <v>46008.44128472222</v>
      </c>
      <c r="C804" s="1" t="n">
        <v>46073</v>
      </c>
      <c r="D804" t="inlineStr">
        <is>
          <t>KRONOBERGS LÄN</t>
        </is>
      </c>
      <c r="E804" t="inlineStr">
        <is>
          <t>LJUNGBY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9344-2025</t>
        </is>
      </c>
      <c r="B805" s="1" t="n">
        <v>45714.84204861111</v>
      </c>
      <c r="C805" s="1" t="n">
        <v>46073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5531-2026</t>
        </is>
      </c>
      <c r="B806" s="1" t="n">
        <v>46050.65660879629</v>
      </c>
      <c r="C806" s="1" t="n">
        <v>46073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22615-2023</t>
        </is>
      </c>
      <c r="B807" s="1" t="n">
        <v>45071.55216435185</v>
      </c>
      <c r="C807" s="1" t="n">
        <v>46073</v>
      </c>
      <c r="D807" t="inlineStr">
        <is>
          <t>KRONOBERGS LÄN</t>
        </is>
      </c>
      <c r="E807" t="inlineStr">
        <is>
          <t>LJUNGBY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22619-2023</t>
        </is>
      </c>
      <c r="B808" s="1" t="n">
        <v>45071.55913194444</v>
      </c>
      <c r="C808" s="1" t="n">
        <v>46073</v>
      </c>
      <c r="D808" t="inlineStr">
        <is>
          <t>KRONOBERGS LÄN</t>
        </is>
      </c>
      <c r="E808" t="inlineStr">
        <is>
          <t>LJUNGBY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12510-2025</t>
        </is>
      </c>
      <c r="B809" s="1" t="n">
        <v>45730.63616898148</v>
      </c>
      <c r="C809" s="1" t="n">
        <v>46073</v>
      </c>
      <c r="D809" t="inlineStr">
        <is>
          <t>KRONOBERGS LÄN</t>
        </is>
      </c>
      <c r="E809" t="inlineStr">
        <is>
          <t>LJUNGBY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60248-2022</t>
        </is>
      </c>
      <c r="B810" s="1" t="n">
        <v>44903</v>
      </c>
      <c r="C810" s="1" t="n">
        <v>46073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23319-2023</t>
        </is>
      </c>
      <c r="B811" s="1" t="n">
        <v>45076.30560185185</v>
      </c>
      <c r="C811" s="1" t="n">
        <v>46073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23600-2023</t>
        </is>
      </c>
      <c r="B812" s="1" t="n">
        <v>45077</v>
      </c>
      <c r="C812" s="1" t="n">
        <v>46073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47242-2022</t>
        </is>
      </c>
      <c r="B813" s="1" t="n">
        <v>44852</v>
      </c>
      <c r="C813" s="1" t="n">
        <v>46073</v>
      </c>
      <c r="D813" t="inlineStr">
        <is>
          <t>KRONOBERGS LÄN</t>
        </is>
      </c>
      <c r="E813" t="inlineStr">
        <is>
          <t>LJUNGBY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45068.66135416667</v>
      </c>
      <c r="C814" s="1" t="n">
        <v>46073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15202-2025</t>
        </is>
      </c>
      <c r="B815" s="1" t="n">
        <v>45744.56912037037</v>
      </c>
      <c r="C815" s="1" t="n">
        <v>46073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18961-2025</t>
        </is>
      </c>
      <c r="B816" s="1" t="n">
        <v>45764.52859953704</v>
      </c>
      <c r="C816" s="1" t="n">
        <v>46073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6147-2026</t>
        </is>
      </c>
      <c r="B817" s="1" t="n">
        <v>46054</v>
      </c>
      <c r="C817" s="1" t="n">
        <v>46073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6149-2026</t>
        </is>
      </c>
      <c r="B818" s="1" t="n">
        <v>46054.8884837963</v>
      </c>
      <c r="C818" s="1" t="n">
        <v>46073</v>
      </c>
      <c r="D818" t="inlineStr">
        <is>
          <t>KRONOBERGS LÄN</t>
        </is>
      </c>
      <c r="E818" t="inlineStr">
        <is>
          <t>LJUNGBY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346-2022</t>
        </is>
      </c>
      <c r="B819" s="1" t="n">
        <v>44565.61265046296</v>
      </c>
      <c r="C819" s="1" t="n">
        <v>46073</v>
      </c>
      <c r="D819" t="inlineStr">
        <is>
          <t>KRONOBERGS LÄN</t>
        </is>
      </c>
      <c r="E819" t="inlineStr">
        <is>
          <t>LJUNGBY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63644-2025</t>
        </is>
      </c>
      <c r="B820" s="1" t="n">
        <v>46014.42715277777</v>
      </c>
      <c r="C820" s="1" t="n">
        <v>46073</v>
      </c>
      <c r="D820" t="inlineStr">
        <is>
          <t>KRONOBERGS LÄN</t>
        </is>
      </c>
      <c r="E820" t="inlineStr">
        <is>
          <t>LJUNGBY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63647-2025</t>
        </is>
      </c>
      <c r="B821" s="1" t="n">
        <v>46014.42962962963</v>
      </c>
      <c r="C821" s="1" t="n">
        <v>46073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17635-2023</t>
        </is>
      </c>
      <c r="B822" s="1" t="n">
        <v>45036.6734375</v>
      </c>
      <c r="C822" s="1" t="n">
        <v>46073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6606-2026</t>
        </is>
      </c>
      <c r="B823" s="1" t="n">
        <v>46056.4805324074</v>
      </c>
      <c r="C823" s="1" t="n">
        <v>46073</v>
      </c>
      <c r="D823" t="inlineStr">
        <is>
          <t>KRONOBERGS LÄN</t>
        </is>
      </c>
      <c r="E823" t="inlineStr">
        <is>
          <t>LJUNGBY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6146-2026</t>
        </is>
      </c>
      <c r="B824" s="1" t="n">
        <v>46054.87530092592</v>
      </c>
      <c r="C824" s="1" t="n">
        <v>46073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54910-2022</t>
        </is>
      </c>
      <c r="B825" s="1" t="n">
        <v>44886</v>
      </c>
      <c r="C825" s="1" t="n">
        <v>46073</v>
      </c>
      <c r="D825" t="inlineStr">
        <is>
          <t>KRONOBERGS LÄN</t>
        </is>
      </c>
      <c r="E825" t="inlineStr">
        <is>
          <t>LJUNGBY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3527-2022</t>
        </is>
      </c>
      <c r="B826" s="1" t="n">
        <v>44585</v>
      </c>
      <c r="C826" s="1" t="n">
        <v>46073</v>
      </c>
      <c r="D826" t="inlineStr">
        <is>
          <t>KRONOBERGS LÄN</t>
        </is>
      </c>
      <c r="E826" t="inlineStr">
        <is>
          <t>LJUNGBY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54984-2024</t>
        </is>
      </c>
      <c r="B827" s="1" t="n">
        <v>45620.82185185186</v>
      </c>
      <c r="C827" s="1" t="n">
        <v>46073</v>
      </c>
      <c r="D827" t="inlineStr">
        <is>
          <t>KRONOBERGS LÄN</t>
        </is>
      </c>
      <c r="E827" t="inlineStr">
        <is>
          <t>LJUNGBY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63509-2025</t>
        </is>
      </c>
      <c r="B828" s="1" t="n">
        <v>46013.49148148148</v>
      </c>
      <c r="C828" s="1" t="n">
        <v>46073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22444-2023</t>
        </is>
      </c>
      <c r="B829" s="1" t="n">
        <v>45070</v>
      </c>
      <c r="C829" s="1" t="n">
        <v>46073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73342-2021</t>
        </is>
      </c>
      <c r="B830" s="1" t="n">
        <v>44551.38699074074</v>
      </c>
      <c r="C830" s="1" t="n">
        <v>46073</v>
      </c>
      <c r="D830" t="inlineStr">
        <is>
          <t>KRONOBERGS LÄN</t>
        </is>
      </c>
      <c r="E830" t="inlineStr">
        <is>
          <t>LJUNGBY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48930-2024</t>
        </is>
      </c>
      <c r="B831" s="1" t="n">
        <v>45594</v>
      </c>
      <c r="C831" s="1" t="n">
        <v>46073</v>
      </c>
      <c r="D831" t="inlineStr">
        <is>
          <t>KRONOBERGS LÄN</t>
        </is>
      </c>
      <c r="E831" t="inlineStr">
        <is>
          <t>LJUNGBY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37374-2022</t>
        </is>
      </c>
      <c r="B832" s="1" t="n">
        <v>44809.39893518519</v>
      </c>
      <c r="C832" s="1" t="n">
        <v>46073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63392-2025</t>
        </is>
      </c>
      <c r="B833" s="1" t="n">
        <v>46011.81157407408</v>
      </c>
      <c r="C833" s="1" t="n">
        <v>46073</v>
      </c>
      <c r="D833" t="inlineStr">
        <is>
          <t>KRONOBERGS LÄN</t>
        </is>
      </c>
      <c r="E833" t="inlineStr">
        <is>
          <t>LJUNGBY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10441-2024</t>
        </is>
      </c>
      <c r="B834" s="1" t="n">
        <v>45366.32900462963</v>
      </c>
      <c r="C834" s="1" t="n">
        <v>46073</v>
      </c>
      <c r="D834" t="inlineStr">
        <is>
          <t>KRONOBERGS LÄN</t>
        </is>
      </c>
      <c r="E834" t="inlineStr">
        <is>
          <t>LJUNGBY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63656-2025</t>
        </is>
      </c>
      <c r="B835" s="1" t="n">
        <v>46014.44275462963</v>
      </c>
      <c r="C835" s="1" t="n">
        <v>46073</v>
      </c>
      <c r="D835" t="inlineStr">
        <is>
          <t>KRONOBERGS LÄN</t>
        </is>
      </c>
      <c r="E835" t="inlineStr">
        <is>
          <t>LJUNGBY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38638-2024</t>
        </is>
      </c>
      <c r="B836" s="1" t="n">
        <v>45546.84695601852</v>
      </c>
      <c r="C836" s="1" t="n">
        <v>46073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38639-2024</t>
        </is>
      </c>
      <c r="B837" s="1" t="n">
        <v>45546.84908564815</v>
      </c>
      <c r="C837" s="1" t="n">
        <v>46073</v>
      </c>
      <c r="D837" t="inlineStr">
        <is>
          <t>KRONOBERGS LÄN</t>
        </is>
      </c>
      <c r="E837" t="inlineStr">
        <is>
          <t>LJUNGBY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40923-2021</t>
        </is>
      </c>
      <c r="B838" s="1" t="n">
        <v>44421.51063657407</v>
      </c>
      <c r="C838" s="1" t="n">
        <v>46073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20075-2023</t>
        </is>
      </c>
      <c r="B839" s="1" t="n">
        <v>45054.85400462963</v>
      </c>
      <c r="C839" s="1" t="n">
        <v>46073</v>
      </c>
      <c r="D839" t="inlineStr">
        <is>
          <t>KRONOBERGS LÄN</t>
        </is>
      </c>
      <c r="E839" t="inlineStr">
        <is>
          <t>LJUNGBY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32046-2024</t>
        </is>
      </c>
      <c r="B840" s="1" t="n">
        <v>45510</v>
      </c>
      <c r="C840" s="1" t="n">
        <v>46073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17910-2025</t>
        </is>
      </c>
      <c r="B841" s="1" t="n">
        <v>45758.73520833333</v>
      </c>
      <c r="C841" s="1" t="n">
        <v>46073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49237-2021</t>
        </is>
      </c>
      <c r="B842" s="1" t="n">
        <v>44454</v>
      </c>
      <c r="C842" s="1" t="n">
        <v>46073</v>
      </c>
      <c r="D842" t="inlineStr">
        <is>
          <t>KRONOBERGS LÄN</t>
        </is>
      </c>
      <c r="E842" t="inlineStr">
        <is>
          <t>LJUNGBY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57336-2024</t>
        </is>
      </c>
      <c r="B843" s="1" t="n">
        <v>45629</v>
      </c>
      <c r="C843" s="1" t="n">
        <v>46073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47232-2023</t>
        </is>
      </c>
      <c r="B844" s="1" t="n">
        <v>45202.38372685185</v>
      </c>
      <c r="C844" s="1" t="n">
        <v>46073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62361-2022</t>
        </is>
      </c>
      <c r="B845" s="1" t="n">
        <v>44923</v>
      </c>
      <c r="C845" s="1" t="n">
        <v>46073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7010-2026</t>
        </is>
      </c>
      <c r="B846" s="1" t="n">
        <v>46057.64059027778</v>
      </c>
      <c r="C846" s="1" t="n">
        <v>46073</v>
      </c>
      <c r="D846" t="inlineStr">
        <is>
          <t>KRONOBERGS LÄN</t>
        </is>
      </c>
      <c r="E846" t="inlineStr">
        <is>
          <t>LJUNGBY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45857-2022</t>
        </is>
      </c>
      <c r="B847" s="1" t="n">
        <v>44846.55085648148</v>
      </c>
      <c r="C847" s="1" t="n">
        <v>46073</v>
      </c>
      <c r="D847" t="inlineStr">
        <is>
          <t>KRONOBERGS LÄN</t>
        </is>
      </c>
      <c r="E847" t="inlineStr">
        <is>
          <t>LJUNGBY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63623-2025</t>
        </is>
      </c>
      <c r="B848" s="1" t="n">
        <v>46014.35407407407</v>
      </c>
      <c r="C848" s="1" t="n">
        <v>46073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57310-2022</t>
        </is>
      </c>
      <c r="B849" s="1" t="n">
        <v>44896.30818287037</v>
      </c>
      <c r="C849" s="1" t="n">
        <v>46073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15573-2025</t>
        </is>
      </c>
      <c r="B850" s="1" t="n">
        <v>45747.78493055556</v>
      </c>
      <c r="C850" s="1" t="n">
        <v>46073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63878-2025</t>
        </is>
      </c>
      <c r="B851" s="1" t="n">
        <v>46020.55761574074</v>
      </c>
      <c r="C851" s="1" t="n">
        <v>46073</v>
      </c>
      <c r="D851" t="inlineStr">
        <is>
          <t>KRONOBERGS LÄN</t>
        </is>
      </c>
      <c r="E851" t="inlineStr">
        <is>
          <t>LJUNGBY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7658-2026</t>
        </is>
      </c>
      <c r="B852" s="1" t="n">
        <v>46062.39100694445</v>
      </c>
      <c r="C852" s="1" t="n">
        <v>46073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7679-2026</t>
        </is>
      </c>
      <c r="B853" s="1" t="n">
        <v>46059</v>
      </c>
      <c r="C853" s="1" t="n">
        <v>46073</v>
      </c>
      <c r="D853" t="inlineStr">
        <is>
          <t>KRONOBERGS LÄN</t>
        </is>
      </c>
      <c r="E853" t="inlineStr">
        <is>
          <t>LJUNGBY</t>
        </is>
      </c>
      <c r="F853" t="inlineStr">
        <is>
          <t>Kyrkan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7684-2026</t>
        </is>
      </c>
      <c r="B854" s="1" t="n">
        <v>46059</v>
      </c>
      <c r="C854" s="1" t="n">
        <v>46073</v>
      </c>
      <c r="D854" t="inlineStr">
        <is>
          <t>KRONOBERGS LÄN</t>
        </is>
      </c>
      <c r="E854" t="inlineStr">
        <is>
          <t>LJUNGBY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46073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7405-2026</t>
        </is>
      </c>
      <c r="B856" s="1" t="n">
        <v>46059.398125</v>
      </c>
      <c r="C856" s="1" t="n">
        <v>46073</v>
      </c>
      <c r="D856" t="inlineStr">
        <is>
          <t>KRONOBERGS LÄN</t>
        </is>
      </c>
      <c r="E856" t="inlineStr">
        <is>
          <t>LJUNGBY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7403-2026</t>
        </is>
      </c>
      <c r="B857" s="1" t="n">
        <v>46059.39361111111</v>
      </c>
      <c r="C857" s="1" t="n">
        <v>46073</v>
      </c>
      <c r="D857" t="inlineStr">
        <is>
          <t>KRONOBERGS LÄN</t>
        </is>
      </c>
      <c r="E857" t="inlineStr">
        <is>
          <t>LJUNGBY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26623-2023</t>
        </is>
      </c>
      <c r="B858" s="1" t="n">
        <v>45092.71057870371</v>
      </c>
      <c r="C858" s="1" t="n">
        <v>46073</v>
      </c>
      <c r="D858" t="inlineStr">
        <is>
          <t>KRONOBERGS LÄN</t>
        </is>
      </c>
      <c r="E858" t="inlineStr">
        <is>
          <t>LJUNGBY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3225-2025</t>
        </is>
      </c>
      <c r="B859" s="1" t="n">
        <v>45679.47949074074</v>
      </c>
      <c r="C859" s="1" t="n">
        <v>46073</v>
      </c>
      <c r="D859" t="inlineStr">
        <is>
          <t>KRONOBERGS LÄN</t>
        </is>
      </c>
      <c r="E859" t="inlineStr">
        <is>
          <t>LJUNGBY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4467-2025</t>
        </is>
      </c>
      <c r="B860" s="1" t="n">
        <v>45686.60939814815</v>
      </c>
      <c r="C860" s="1" t="n">
        <v>46073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46073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49228-2024</t>
        </is>
      </c>
      <c r="B862" s="1" t="n">
        <v>45595.4272337963</v>
      </c>
      <c r="C862" s="1" t="n">
        <v>46073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1846-2024</t>
        </is>
      </c>
      <c r="B863" s="1" t="n">
        <v>45307</v>
      </c>
      <c r="C863" s="1" t="n">
        <v>46073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7401-2026</t>
        </is>
      </c>
      <c r="B864" s="1" t="n">
        <v>46059.38453703704</v>
      </c>
      <c r="C864" s="1" t="n">
        <v>46073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57896-2025</t>
        </is>
      </c>
      <c r="B865" s="1" t="n">
        <v>45981</v>
      </c>
      <c r="C865" s="1" t="n">
        <v>46073</v>
      </c>
      <c r="D865" t="inlineStr">
        <is>
          <t>KRONOBERGS LÄN</t>
        </is>
      </c>
      <c r="E865" t="inlineStr">
        <is>
          <t>LJUNGBY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8054-2026</t>
        </is>
      </c>
      <c r="B866" s="1" t="n">
        <v>46063.6187037037</v>
      </c>
      <c r="C866" s="1" t="n">
        <v>46073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21758-2023</t>
        </is>
      </c>
      <c r="B867" s="1" t="n">
        <v>45065</v>
      </c>
      <c r="C867" s="1" t="n">
        <v>46073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8071-2026</t>
        </is>
      </c>
      <c r="B868" s="1" t="n">
        <v>46063</v>
      </c>
      <c r="C868" s="1" t="n">
        <v>46073</v>
      </c>
      <c r="D868" t="inlineStr">
        <is>
          <t>KRONOBERGS LÄN</t>
        </is>
      </c>
      <c r="E868" t="inlineStr">
        <is>
          <t>LJUNGBY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8134-2023</t>
        </is>
      </c>
      <c r="B869" s="1" t="n">
        <v>44974</v>
      </c>
      <c r="C869" s="1" t="n">
        <v>46073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33079-2023</t>
        </is>
      </c>
      <c r="B870" s="1" t="n">
        <v>45126</v>
      </c>
      <c r="C870" s="1" t="n">
        <v>46073</v>
      </c>
      <c r="D870" t="inlineStr">
        <is>
          <t>KRONOBERGS LÄN</t>
        </is>
      </c>
      <c r="E870" t="inlineStr">
        <is>
          <t>LJUNGBY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62504-2022</t>
        </is>
      </c>
      <c r="B871" s="1" t="n">
        <v>44924</v>
      </c>
      <c r="C871" s="1" t="n">
        <v>46073</v>
      </c>
      <c r="D871" t="inlineStr">
        <is>
          <t>KRONOBERGS LÄN</t>
        </is>
      </c>
      <c r="E871" t="inlineStr">
        <is>
          <t>LJUNGBY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8078-2026</t>
        </is>
      </c>
      <c r="B872" s="1" t="n">
        <v>46063.65836805556</v>
      </c>
      <c r="C872" s="1" t="n">
        <v>46073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8046-2026</t>
        </is>
      </c>
      <c r="B873" s="1" t="n">
        <v>46063.60928240741</v>
      </c>
      <c r="C873" s="1" t="n">
        <v>46073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8065-2026</t>
        </is>
      </c>
      <c r="B874" s="1" t="n">
        <v>46063.63143518518</v>
      </c>
      <c r="C874" s="1" t="n">
        <v>46073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17286-2023</t>
        </is>
      </c>
      <c r="B875" s="1" t="n">
        <v>45035</v>
      </c>
      <c r="C875" s="1" t="n">
        <v>46073</v>
      </c>
      <c r="D875" t="inlineStr">
        <is>
          <t>KRONOBERGS LÄN</t>
        </is>
      </c>
      <c r="E875" t="inlineStr">
        <is>
          <t>LJUNGBY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62994-2023</t>
        </is>
      </c>
      <c r="B876" s="1" t="n">
        <v>45272.62565972222</v>
      </c>
      <c r="C876" s="1" t="n">
        <v>46073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33075-2023</t>
        </is>
      </c>
      <c r="B877" s="1" t="n">
        <v>45126</v>
      </c>
      <c r="C877" s="1" t="n">
        <v>46073</v>
      </c>
      <c r="D877" t="inlineStr">
        <is>
          <t>KRONOBERGS LÄN</t>
        </is>
      </c>
      <c r="E877" t="inlineStr">
        <is>
          <t>LJUNGBY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76-2026</t>
        </is>
      </c>
      <c r="B878" s="1" t="n">
        <v>46024.46804398148</v>
      </c>
      <c r="C878" s="1" t="n">
        <v>46073</v>
      </c>
      <c r="D878" t="inlineStr">
        <is>
          <t>KRONOBERGS LÄN</t>
        </is>
      </c>
      <c r="E878" t="inlineStr">
        <is>
          <t>LJUNGBY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43347-2023</t>
        </is>
      </c>
      <c r="B879" s="1" t="n">
        <v>45183.65436342593</v>
      </c>
      <c r="C879" s="1" t="n">
        <v>46073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51852-2023</t>
        </is>
      </c>
      <c r="B880" s="1" t="n">
        <v>45223</v>
      </c>
      <c r="C880" s="1" t="n">
        <v>46073</v>
      </c>
      <c r="D880" t="inlineStr">
        <is>
          <t>KRONOBERGS LÄN</t>
        </is>
      </c>
      <c r="E880" t="inlineStr">
        <is>
          <t>LJUNGBY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51856-2023</t>
        </is>
      </c>
      <c r="B881" s="1" t="n">
        <v>45223</v>
      </c>
      <c r="C881" s="1" t="n">
        <v>46073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53412-2024</t>
        </is>
      </c>
      <c r="B882" s="1" t="n">
        <v>45614.505625</v>
      </c>
      <c r="C882" s="1" t="n">
        <v>46073</v>
      </c>
      <c r="D882" t="inlineStr">
        <is>
          <t>KRONOBERGS LÄN</t>
        </is>
      </c>
      <c r="E882" t="inlineStr">
        <is>
          <t>LJUNGBY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7101-2024</t>
        </is>
      </c>
      <c r="B883" s="1" t="n">
        <v>45343.92605324074</v>
      </c>
      <c r="C883" s="1" t="n">
        <v>46073</v>
      </c>
      <c r="D883" t="inlineStr">
        <is>
          <t>KRONOBERGS LÄN</t>
        </is>
      </c>
      <c r="E883" t="inlineStr">
        <is>
          <t>LJUNGBY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155-2026</t>
        </is>
      </c>
      <c r="B884" s="1" t="n">
        <v>46024.69451388889</v>
      </c>
      <c r="C884" s="1" t="n">
        <v>46073</v>
      </c>
      <c r="D884" t="inlineStr">
        <is>
          <t>KRONOBERGS LÄN</t>
        </is>
      </c>
      <c r="E884" t="inlineStr">
        <is>
          <t>LJUNGBY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62858-2023</t>
        </is>
      </c>
      <c r="B885" s="1" t="n">
        <v>45272</v>
      </c>
      <c r="C885" s="1" t="n">
        <v>46073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8804-2026</t>
        </is>
      </c>
      <c r="B886" s="1" t="n">
        <v>46065</v>
      </c>
      <c r="C886" s="1" t="n">
        <v>46073</v>
      </c>
      <c r="D886" t="inlineStr">
        <is>
          <t>KRONOBERGS LÄN</t>
        </is>
      </c>
      <c r="E886" t="inlineStr">
        <is>
          <t>LJUNGBY</t>
        </is>
      </c>
      <c r="F886" t="inlineStr">
        <is>
          <t>Kyrkan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8727-2026</t>
        </is>
      </c>
      <c r="B887" s="1" t="n">
        <v>46065</v>
      </c>
      <c r="C887" s="1" t="n">
        <v>46073</v>
      </c>
      <c r="D887" t="inlineStr">
        <is>
          <t>KRONOBERGS LÄN</t>
        </is>
      </c>
      <c r="E887" t="inlineStr">
        <is>
          <t>LJUNGBY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26882-2024</t>
        </is>
      </c>
      <c r="B888" s="1" t="n">
        <v>45470</v>
      </c>
      <c r="C888" s="1" t="n">
        <v>46073</v>
      </c>
      <c r="D888" t="inlineStr">
        <is>
          <t>KRONOBERGS LÄN</t>
        </is>
      </c>
      <c r="E888" t="inlineStr">
        <is>
          <t>LJUNGBY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27628-2023</t>
        </is>
      </c>
      <c r="B889" s="1" t="n">
        <v>45097</v>
      </c>
      <c r="C889" s="1" t="n">
        <v>46073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25427-2024</t>
        </is>
      </c>
      <c r="B890" s="1" t="n">
        <v>45463</v>
      </c>
      <c r="C890" s="1" t="n">
        <v>46073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11506-2024</t>
        </is>
      </c>
      <c r="B891" s="1" t="n">
        <v>45372.68917824074</v>
      </c>
      <c r="C891" s="1" t="n">
        <v>46073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1562-2024</t>
        </is>
      </c>
      <c r="B892" s="1" t="n">
        <v>45306</v>
      </c>
      <c r="C892" s="1" t="n">
        <v>46073</v>
      </c>
      <c r="D892" t="inlineStr">
        <is>
          <t>KRONOBERGS LÄN</t>
        </is>
      </c>
      <c r="E892" t="inlineStr">
        <is>
          <t>LJUNGBY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9070-2026</t>
        </is>
      </c>
      <c r="B893" s="1" t="n">
        <v>46069.5756712963</v>
      </c>
      <c r="C893" s="1" t="n">
        <v>46073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59969-2025</t>
        </is>
      </c>
      <c r="B894" s="1" t="n">
        <v>45993</v>
      </c>
      <c r="C894" s="1" t="n">
        <v>46073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43024-2024</t>
        </is>
      </c>
      <c r="B895" s="1" t="n">
        <v>45567</v>
      </c>
      <c r="C895" s="1" t="n">
        <v>46073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28323-2023</t>
        </is>
      </c>
      <c r="B896" s="1" t="n">
        <v>45099</v>
      </c>
      <c r="C896" s="1" t="n">
        <v>46073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16754-2025</t>
        </is>
      </c>
      <c r="B897" s="1" t="n">
        <v>45754.56905092593</v>
      </c>
      <c r="C897" s="1" t="n">
        <v>46073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46360-2022</t>
        </is>
      </c>
      <c r="B898" s="1" t="n">
        <v>44848.30996527777</v>
      </c>
      <c r="C898" s="1" t="n">
        <v>46073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857-2026</t>
        </is>
      </c>
      <c r="B899" s="1" t="n">
        <v>46030.4108449074</v>
      </c>
      <c r="C899" s="1" t="n">
        <v>46073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38399-2023</t>
        </is>
      </c>
      <c r="B900" s="1" t="n">
        <v>45162.32709490741</v>
      </c>
      <c r="C900" s="1" t="n">
        <v>46073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53854-2024</t>
        </is>
      </c>
      <c r="B901" s="1" t="n">
        <v>45615.6362037037</v>
      </c>
      <c r="C901" s="1" t="n">
        <v>46073</v>
      </c>
      <c r="D901" t="inlineStr">
        <is>
          <t>KRONOBERGS LÄN</t>
        </is>
      </c>
      <c r="E901" t="inlineStr">
        <is>
          <t>LJUNGBY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54614-2024</t>
        </is>
      </c>
      <c r="B902" s="1" t="n">
        <v>45617.72069444445</v>
      </c>
      <c r="C902" s="1" t="n">
        <v>46073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42611-2023</t>
        </is>
      </c>
      <c r="B903" s="1" t="n">
        <v>45181</v>
      </c>
      <c r="C903" s="1" t="n">
        <v>46073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13608-2024</t>
        </is>
      </c>
      <c r="B904" s="1" t="n">
        <v>45390</v>
      </c>
      <c r="C904" s="1" t="n">
        <v>46073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59968-2025</t>
        </is>
      </c>
      <c r="B905" s="1" t="n">
        <v>45993</v>
      </c>
      <c r="C905" s="1" t="n">
        <v>46073</v>
      </c>
      <c r="D905" t="inlineStr">
        <is>
          <t>KRONOBERGS LÄN</t>
        </is>
      </c>
      <c r="E905" t="inlineStr">
        <is>
          <t>LJUNGBY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35900-2023</t>
        </is>
      </c>
      <c r="B906" s="1" t="n">
        <v>45148.62439814815</v>
      </c>
      <c r="C906" s="1" t="n">
        <v>46073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39835-2023</t>
        </is>
      </c>
      <c r="B907" s="1" t="n">
        <v>45168.33265046297</v>
      </c>
      <c r="C907" s="1" t="n">
        <v>46073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11590-2025</t>
        </is>
      </c>
      <c r="B908" s="1" t="n">
        <v>45727</v>
      </c>
      <c r="C908" s="1" t="n">
        <v>46073</v>
      </c>
      <c r="D908" t="inlineStr">
        <is>
          <t>KRONOBERGS LÄN</t>
        </is>
      </c>
      <c r="E908" t="inlineStr">
        <is>
          <t>LJUNGBY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44166-2023</t>
        </is>
      </c>
      <c r="B909" s="1" t="n">
        <v>45188.49305555555</v>
      </c>
      <c r="C909" s="1" t="n">
        <v>46073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9912-2023</t>
        </is>
      </c>
      <c r="B910" s="1" t="n">
        <v>44985</v>
      </c>
      <c r="C910" s="1" t="n">
        <v>46073</v>
      </c>
      <c r="D910" t="inlineStr">
        <is>
          <t>KRONOBERGS LÄN</t>
        </is>
      </c>
      <c r="E910" t="inlineStr">
        <is>
          <t>LJUNGBY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9919-2023</t>
        </is>
      </c>
      <c r="B911" s="1" t="n">
        <v>44985</v>
      </c>
      <c r="C911" s="1" t="n">
        <v>46073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31528-2023</t>
        </is>
      </c>
      <c r="B912" s="1" t="n">
        <v>45116.79090277778</v>
      </c>
      <c r="C912" s="1" t="n">
        <v>46073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31529-2023</t>
        </is>
      </c>
      <c r="B913" s="1" t="n">
        <v>45116.79268518519</v>
      </c>
      <c r="C913" s="1" t="n">
        <v>46073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10889-2024</t>
        </is>
      </c>
      <c r="B914" s="1" t="n">
        <v>45370.34275462963</v>
      </c>
      <c r="C914" s="1" t="n">
        <v>46073</v>
      </c>
      <c r="D914" t="inlineStr">
        <is>
          <t>KRONOBERGS LÄN</t>
        </is>
      </c>
      <c r="E914" t="inlineStr">
        <is>
          <t>LJUNGBY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1618-2023</t>
        </is>
      </c>
      <c r="B915" s="1" t="n">
        <v>44937.71841435185</v>
      </c>
      <c r="C915" s="1" t="n">
        <v>46073</v>
      </c>
      <c r="D915" t="inlineStr">
        <is>
          <t>KRONOBERGS LÄN</t>
        </is>
      </c>
      <c r="E915" t="inlineStr">
        <is>
          <t>LJUNGBY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26828-2024</t>
        </is>
      </c>
      <c r="B916" s="1" t="n">
        <v>45470</v>
      </c>
      <c r="C916" s="1" t="n">
        <v>46073</v>
      </c>
      <c r="D916" t="inlineStr">
        <is>
          <t>KRONOBERGS LÄN</t>
        </is>
      </c>
      <c r="E916" t="inlineStr">
        <is>
          <t>LJUNGBY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63369-2023</t>
        </is>
      </c>
      <c r="B917" s="1" t="n">
        <v>45273</v>
      </c>
      <c r="C917" s="1" t="n">
        <v>46073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35963-2024</t>
        </is>
      </c>
      <c r="B918" s="1" t="n">
        <v>45533</v>
      </c>
      <c r="C918" s="1" t="n">
        <v>46073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42054-2024</t>
        </is>
      </c>
      <c r="B919" s="1" t="n">
        <v>45561.88243055555</v>
      </c>
      <c r="C919" s="1" t="n">
        <v>46073</v>
      </c>
      <c r="D919" t="inlineStr">
        <is>
          <t>KRONOBERGS LÄN</t>
        </is>
      </c>
      <c r="E919" t="inlineStr">
        <is>
          <t>LJUNGBY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48675-2024</t>
        </is>
      </c>
      <c r="B920" s="1" t="n">
        <v>45593</v>
      </c>
      <c r="C920" s="1" t="n">
        <v>46073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48731-2024</t>
        </is>
      </c>
      <c r="B921" s="1" t="n">
        <v>45593</v>
      </c>
      <c r="C921" s="1" t="n">
        <v>46073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11893-2023</t>
        </is>
      </c>
      <c r="B922" s="1" t="n">
        <v>44995.44344907408</v>
      </c>
      <c r="C922" s="1" t="n">
        <v>46073</v>
      </c>
      <c r="D922" t="inlineStr">
        <is>
          <t>KRONOBERGS LÄN</t>
        </is>
      </c>
      <c r="E922" t="inlineStr">
        <is>
          <t>LJUNGBY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53539-2024</t>
        </is>
      </c>
      <c r="B923" s="1" t="n">
        <v>45614.63012731481</v>
      </c>
      <c r="C923" s="1" t="n">
        <v>46073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16728-2025</t>
        </is>
      </c>
      <c r="B924" s="1" t="n">
        <v>45754.52788194444</v>
      </c>
      <c r="C924" s="1" t="n">
        <v>46073</v>
      </c>
      <c r="D924" t="inlineStr">
        <is>
          <t>KRONOBERGS LÄN</t>
        </is>
      </c>
      <c r="E924" t="inlineStr">
        <is>
          <t>LJUNGBY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34209-2024</t>
        </is>
      </c>
      <c r="B925" s="1" t="n">
        <v>45524.49138888889</v>
      </c>
      <c r="C925" s="1" t="n">
        <v>46073</v>
      </c>
      <c r="D925" t="inlineStr">
        <is>
          <t>KRONOBERGS LÄN</t>
        </is>
      </c>
      <c r="E925" t="inlineStr">
        <is>
          <t>LJUNGBY</t>
        </is>
      </c>
      <c r="G925" t="n">
        <v>12.1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34926-2024</t>
        </is>
      </c>
      <c r="B926" s="1" t="n">
        <v>45527.44498842592</v>
      </c>
      <c r="C926" s="1" t="n">
        <v>46073</v>
      </c>
      <c r="D926" t="inlineStr">
        <is>
          <t>KRONOBERGS LÄN</t>
        </is>
      </c>
      <c r="E926" t="inlineStr">
        <is>
          <t>LJUNGBY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50133-2024</t>
        </is>
      </c>
      <c r="B927" s="1" t="n">
        <v>45600</v>
      </c>
      <c r="C927" s="1" t="n">
        <v>46073</v>
      </c>
      <c r="D927" t="inlineStr">
        <is>
          <t>KRONOBERGS LÄN</t>
        </is>
      </c>
      <c r="E927" t="inlineStr">
        <is>
          <t>LJUNGBY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7719-2024</t>
        </is>
      </c>
      <c r="B928" s="1" t="n">
        <v>45349.39254629629</v>
      </c>
      <c r="C928" s="1" t="n">
        <v>46073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25241-2023</t>
        </is>
      </c>
      <c r="B929" s="1" t="n">
        <v>45079</v>
      </c>
      <c r="C929" s="1" t="n">
        <v>46073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5614-2024</t>
        </is>
      </c>
      <c r="B930" s="1" t="n">
        <v>45334</v>
      </c>
      <c r="C930" s="1" t="n">
        <v>46073</v>
      </c>
      <c r="D930" t="inlineStr">
        <is>
          <t>KRONOBERGS LÄN</t>
        </is>
      </c>
      <c r="E930" t="inlineStr">
        <is>
          <t>LJUNGBY</t>
        </is>
      </c>
      <c r="F930" t="inlineStr">
        <is>
          <t>Kommuner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25616-2023</t>
        </is>
      </c>
      <c r="B931" s="1" t="n">
        <v>45089</v>
      </c>
      <c r="C931" s="1" t="n">
        <v>46073</v>
      </c>
      <c r="D931" t="inlineStr">
        <is>
          <t>KRONOBERGS LÄN</t>
        </is>
      </c>
      <c r="E931" t="inlineStr">
        <is>
          <t>LJUNGBY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12406-2023</t>
        </is>
      </c>
      <c r="B932" s="1" t="n">
        <v>44999.50538194444</v>
      </c>
      <c r="C932" s="1" t="n">
        <v>46073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57390-2024</t>
        </is>
      </c>
      <c r="B933" s="1" t="n">
        <v>45629</v>
      </c>
      <c r="C933" s="1" t="n">
        <v>46073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20284-2023</t>
        </is>
      </c>
      <c r="B934" s="1" t="n">
        <v>45056.31962962963</v>
      </c>
      <c r="C934" s="1" t="n">
        <v>46073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44276-2023</t>
        </is>
      </c>
      <c r="B935" s="1" t="n">
        <v>45188.61378472222</v>
      </c>
      <c r="C935" s="1" t="n">
        <v>46073</v>
      </c>
      <c r="D935" t="inlineStr">
        <is>
          <t>KRONOBERGS LÄN</t>
        </is>
      </c>
      <c r="E935" t="inlineStr">
        <is>
          <t>LJUNGBY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52711-2024</t>
        </is>
      </c>
      <c r="B936" s="1" t="n">
        <v>45610.42850694444</v>
      </c>
      <c r="C936" s="1" t="n">
        <v>46073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59544-2024</t>
        </is>
      </c>
      <c r="B937" s="1" t="n">
        <v>45637</v>
      </c>
      <c r="C937" s="1" t="n">
        <v>46073</v>
      </c>
      <c r="D937" t="inlineStr">
        <is>
          <t>KRONOBERGS LÄN</t>
        </is>
      </c>
      <c r="E937" t="inlineStr">
        <is>
          <t>LJUNGBY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60113-2024</t>
        </is>
      </c>
      <c r="B938" s="1" t="n">
        <v>45642.57581018518</v>
      </c>
      <c r="C938" s="1" t="n">
        <v>46073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51436-2024</t>
        </is>
      </c>
      <c r="B939" s="1" t="n">
        <v>45604.47508101852</v>
      </c>
      <c r="C939" s="1" t="n">
        <v>46073</v>
      </c>
      <c r="D939" t="inlineStr">
        <is>
          <t>KRONOBERGS LÄN</t>
        </is>
      </c>
      <c r="E939" t="inlineStr">
        <is>
          <t>LJUNGBY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10189-2025</t>
        </is>
      </c>
      <c r="B940" s="1" t="n">
        <v>45719</v>
      </c>
      <c r="C940" s="1" t="n">
        <v>46073</v>
      </c>
      <c r="D940" t="inlineStr">
        <is>
          <t>KRONOBERGS LÄN</t>
        </is>
      </c>
      <c r="E940" t="inlineStr">
        <is>
          <t>LJUNGBY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24687-2023</t>
        </is>
      </c>
      <c r="B941" s="1" t="n">
        <v>45084.51329861111</v>
      </c>
      <c r="C941" s="1" t="n">
        <v>46073</v>
      </c>
      <c r="D941" t="inlineStr">
        <is>
          <t>KRONOBERGS LÄN</t>
        </is>
      </c>
      <c r="E941" t="inlineStr">
        <is>
          <t>LJUNGBY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60560-2024</t>
        </is>
      </c>
      <c r="B942" s="1" t="n">
        <v>45644.02509259259</v>
      </c>
      <c r="C942" s="1" t="n">
        <v>46073</v>
      </c>
      <c r="D942" t="inlineStr">
        <is>
          <t>KRONOBERGS LÄN</t>
        </is>
      </c>
      <c r="E942" t="inlineStr">
        <is>
          <t>LJUNGBY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9333-2025</t>
        </is>
      </c>
      <c r="B943" s="1" t="n">
        <v>45714.80106481481</v>
      </c>
      <c r="C943" s="1" t="n">
        <v>46073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53405-2024</t>
        </is>
      </c>
      <c r="B944" s="1" t="n">
        <v>45614.49559027778</v>
      </c>
      <c r="C944" s="1" t="n">
        <v>46073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50314-2023</t>
        </is>
      </c>
      <c r="B945" s="1" t="n">
        <v>45216.52173611111</v>
      </c>
      <c r="C945" s="1" t="n">
        <v>46073</v>
      </c>
      <c r="D945" t="inlineStr">
        <is>
          <t>KRONOBERGS LÄN</t>
        </is>
      </c>
      <c r="E945" t="inlineStr">
        <is>
          <t>LJUNGBY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7107-2022</t>
        </is>
      </c>
      <c r="B946" s="1" t="n">
        <v>44603.63212962963</v>
      </c>
      <c r="C946" s="1" t="n">
        <v>46073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7113-2022</t>
        </is>
      </c>
      <c r="B947" s="1" t="n">
        <v>44603</v>
      </c>
      <c r="C947" s="1" t="n">
        <v>46073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7114-2022</t>
        </is>
      </c>
      <c r="B948" s="1" t="n">
        <v>44603.6434375</v>
      </c>
      <c r="C948" s="1" t="n">
        <v>46073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7374-2024</t>
        </is>
      </c>
      <c r="B949" s="1" t="n">
        <v>45345</v>
      </c>
      <c r="C949" s="1" t="n">
        <v>46073</v>
      </c>
      <c r="D949" t="inlineStr">
        <is>
          <t>KRONOBERGS LÄN</t>
        </is>
      </c>
      <c r="E949" t="inlineStr">
        <is>
          <t>LJUNGBY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3074-2022</t>
        </is>
      </c>
      <c r="B950" s="1" t="n">
        <v>44582.42422453704</v>
      </c>
      <c r="C950" s="1" t="n">
        <v>46073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10675-2023</t>
        </is>
      </c>
      <c r="B951" s="1" t="n">
        <v>44988</v>
      </c>
      <c r="C951" s="1" t="n">
        <v>46073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52849-2024</t>
        </is>
      </c>
      <c r="B952" s="1" t="n">
        <v>45610.60369212963</v>
      </c>
      <c r="C952" s="1" t="n">
        <v>46073</v>
      </c>
      <c r="D952" t="inlineStr">
        <is>
          <t>KRONOBERGS LÄN</t>
        </is>
      </c>
      <c r="E952" t="inlineStr">
        <is>
          <t>LJUNGBY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18911-2024</t>
        </is>
      </c>
      <c r="B953" s="1" t="n">
        <v>45427</v>
      </c>
      <c r="C953" s="1" t="n">
        <v>46073</v>
      </c>
      <c r="D953" t="inlineStr">
        <is>
          <t>KRONOBERGS LÄN</t>
        </is>
      </c>
      <c r="E953" t="inlineStr">
        <is>
          <t>LJUNGBY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42592-2023</t>
        </is>
      </c>
      <c r="B954" s="1" t="n">
        <v>45176</v>
      </c>
      <c r="C954" s="1" t="n">
        <v>46073</v>
      </c>
      <c r="D954" t="inlineStr">
        <is>
          <t>KRONOBERGS LÄN</t>
        </is>
      </c>
      <c r="E954" t="inlineStr">
        <is>
          <t>LJUNGBY</t>
        </is>
      </c>
      <c r="F954" t="inlineStr">
        <is>
          <t>Kyrkan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43343-2023</t>
        </is>
      </c>
      <c r="B955" s="1" t="n">
        <v>45183.65034722222</v>
      </c>
      <c r="C955" s="1" t="n">
        <v>46073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24399-2023</t>
        </is>
      </c>
      <c r="B956" s="1" t="n">
        <v>45082</v>
      </c>
      <c r="C956" s="1" t="n">
        <v>46073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15361-2025</t>
        </is>
      </c>
      <c r="B957" s="1" t="n">
        <v>45747.39516203704</v>
      </c>
      <c r="C957" s="1" t="n">
        <v>46073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19143-2025</t>
        </is>
      </c>
      <c r="B958" s="1" t="n">
        <v>45769.33756944445</v>
      </c>
      <c r="C958" s="1" t="n">
        <v>46073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12939-2022</t>
        </is>
      </c>
      <c r="B959" s="1" t="n">
        <v>44642.83407407408</v>
      </c>
      <c r="C959" s="1" t="n">
        <v>46073</v>
      </c>
      <c r="D959" t="inlineStr">
        <is>
          <t>KRONOBERGS LÄN</t>
        </is>
      </c>
      <c r="E959" t="inlineStr">
        <is>
          <t>LJUNGBY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56818-2024</t>
        </is>
      </c>
      <c r="B960" s="1" t="n">
        <v>45628.48590277778</v>
      </c>
      <c r="C960" s="1" t="n">
        <v>46073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4442-2025</t>
        </is>
      </c>
      <c r="B961" s="1" t="n">
        <v>45686.54246527778</v>
      </c>
      <c r="C961" s="1" t="n">
        <v>46073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11784-2022</t>
        </is>
      </c>
      <c r="B962" s="1" t="n">
        <v>44634.60929398148</v>
      </c>
      <c r="C962" s="1" t="n">
        <v>46073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53789-2024</t>
        </is>
      </c>
      <c r="B963" s="1" t="n">
        <v>45615.57407407407</v>
      </c>
      <c r="C963" s="1" t="n">
        <v>46073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54436-2024</t>
        </is>
      </c>
      <c r="B964" s="1" t="n">
        <v>45617.49510416666</v>
      </c>
      <c r="C964" s="1" t="n">
        <v>46073</v>
      </c>
      <c r="D964" t="inlineStr">
        <is>
          <t>KRONOBERGS LÄN</t>
        </is>
      </c>
      <c r="E964" t="inlineStr">
        <is>
          <t>LJUNGBY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56774-2024</t>
        </is>
      </c>
      <c r="B965" s="1" t="n">
        <v>45628.43445601852</v>
      </c>
      <c r="C965" s="1" t="n">
        <v>46073</v>
      </c>
      <c r="D965" t="inlineStr">
        <is>
          <t>KRONOBERGS LÄN</t>
        </is>
      </c>
      <c r="E965" t="inlineStr">
        <is>
          <t>LJUNGBY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22153-2023</t>
        </is>
      </c>
      <c r="B966" s="1" t="n">
        <v>45069.64322916666</v>
      </c>
      <c r="C966" s="1" t="n">
        <v>46073</v>
      </c>
      <c r="D966" t="inlineStr">
        <is>
          <t>KRONOBERGS LÄN</t>
        </is>
      </c>
      <c r="E966" t="inlineStr">
        <is>
          <t>LJUNGBY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9629-2022</t>
        </is>
      </c>
      <c r="B967" s="1" t="n">
        <v>44617</v>
      </c>
      <c r="C967" s="1" t="n">
        <v>46073</v>
      </c>
      <c r="D967" t="inlineStr">
        <is>
          <t>KRONOBERGS LÄN</t>
        </is>
      </c>
      <c r="E967" t="inlineStr">
        <is>
          <t>LJUNGBY</t>
        </is>
      </c>
      <c r="F967" t="inlineStr">
        <is>
          <t>Kyrkan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2693-2025</t>
        </is>
      </c>
      <c r="B968" s="1" t="n">
        <v>45677.37925925926</v>
      </c>
      <c r="C968" s="1" t="n">
        <v>46073</v>
      </c>
      <c r="D968" t="inlineStr">
        <is>
          <t>KRONOBERGS LÄN</t>
        </is>
      </c>
      <c r="E968" t="inlineStr">
        <is>
          <t>LJUNGBY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48152-2023</t>
        </is>
      </c>
      <c r="B969" s="1" t="n">
        <v>45205</v>
      </c>
      <c r="C969" s="1" t="n">
        <v>46073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56205-2023</t>
        </is>
      </c>
      <c r="B970" s="1" t="n">
        <v>45240.67206018518</v>
      </c>
      <c r="C970" s="1" t="n">
        <v>46073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9467-2024</t>
        </is>
      </c>
      <c r="B971" s="1" t="n">
        <v>45358</v>
      </c>
      <c r="C971" s="1" t="n">
        <v>46073</v>
      </c>
      <c r="D971" t="inlineStr">
        <is>
          <t>KRONOBERGS LÄN</t>
        </is>
      </c>
      <c r="E971" t="inlineStr">
        <is>
          <t>LJUNGBY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16648-2025</t>
        </is>
      </c>
      <c r="B972" s="1" t="n">
        <v>45754.38893518518</v>
      </c>
      <c r="C972" s="1" t="n">
        <v>46073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42190-2023</t>
        </is>
      </c>
      <c r="B973" s="1" t="n">
        <v>45179</v>
      </c>
      <c r="C973" s="1" t="n">
        <v>46073</v>
      </c>
      <c r="D973" t="inlineStr">
        <is>
          <t>KRONOBERGS LÄN</t>
        </is>
      </c>
      <c r="E973" t="inlineStr">
        <is>
          <t>LJUNGBY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23654-2022</t>
        </is>
      </c>
      <c r="B974" s="1" t="n">
        <v>44721.70876157407</v>
      </c>
      <c r="C974" s="1" t="n">
        <v>46073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46869-2022</t>
        </is>
      </c>
      <c r="B975" s="1" t="n">
        <v>44851.61237268519</v>
      </c>
      <c r="C975" s="1" t="n">
        <v>46073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4464-2025</t>
        </is>
      </c>
      <c r="B976" s="1" t="n">
        <v>45686.60648148148</v>
      </c>
      <c r="C976" s="1" t="n">
        <v>46073</v>
      </c>
      <c r="D976" t="inlineStr">
        <is>
          <t>KRONOBERGS LÄN</t>
        </is>
      </c>
      <c r="E976" t="inlineStr">
        <is>
          <t>LJUNGBY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4477-2025</t>
        </is>
      </c>
      <c r="B977" s="1" t="n">
        <v>45686.63332175926</v>
      </c>
      <c r="C977" s="1" t="n">
        <v>46073</v>
      </c>
      <c r="D977" t="inlineStr">
        <is>
          <t>KRONOBERGS LÄN</t>
        </is>
      </c>
      <c r="E977" t="inlineStr">
        <is>
          <t>LJUNGBY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7103-2025</t>
        </is>
      </c>
      <c r="B978" s="1" t="n">
        <v>45701.90762731482</v>
      </c>
      <c r="C978" s="1" t="n">
        <v>46073</v>
      </c>
      <c r="D978" t="inlineStr">
        <is>
          <t>KRONOBERGS LÄN</t>
        </is>
      </c>
      <c r="E978" t="inlineStr">
        <is>
          <t>LJUNGBY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6695-2025</t>
        </is>
      </c>
      <c r="B979" s="1" t="n">
        <v>45700.51605324074</v>
      </c>
      <c r="C979" s="1" t="n">
        <v>46073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10997-2022</t>
        </is>
      </c>
      <c r="B980" s="1" t="n">
        <v>44628.47715277778</v>
      </c>
      <c r="C980" s="1" t="n">
        <v>46073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22383-2024</t>
        </is>
      </c>
      <c r="B981" s="1" t="n">
        <v>45446</v>
      </c>
      <c r="C981" s="1" t="n">
        <v>46073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28673-2023</t>
        </is>
      </c>
      <c r="B982" s="1" t="n">
        <v>45103</v>
      </c>
      <c r="C982" s="1" t="n">
        <v>46073</v>
      </c>
      <c r="D982" t="inlineStr">
        <is>
          <t>KRONOBERGS LÄN</t>
        </is>
      </c>
      <c r="E982" t="inlineStr">
        <is>
          <t>LJUNGBY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42615-2023</t>
        </is>
      </c>
      <c r="B983" s="1" t="n">
        <v>45181</v>
      </c>
      <c r="C983" s="1" t="n">
        <v>46073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46864-2022</t>
        </is>
      </c>
      <c r="B984" s="1" t="n">
        <v>44851.60855324074</v>
      </c>
      <c r="C984" s="1" t="n">
        <v>46073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54924-2023</t>
        </is>
      </c>
      <c r="B985" s="1" t="n">
        <v>45236.68318287037</v>
      </c>
      <c r="C985" s="1" t="n">
        <v>46073</v>
      </c>
      <c r="D985" t="inlineStr">
        <is>
          <t>KRONOBERGS LÄN</t>
        </is>
      </c>
      <c r="E985" t="inlineStr">
        <is>
          <t>LJUNGBY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57750-2023</t>
        </is>
      </c>
      <c r="B986" s="1" t="n">
        <v>45246.77350694445</v>
      </c>
      <c r="C986" s="1" t="n">
        <v>46073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45195.85546296297</v>
      </c>
      <c r="C987" s="1" t="n">
        <v>46073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14412-2025</t>
        </is>
      </c>
      <c r="B988" s="1" t="n">
        <v>45741.47434027777</v>
      </c>
      <c r="C988" s="1" t="n">
        <v>46073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38736-2023</t>
        </is>
      </c>
      <c r="B989" s="1" t="n">
        <v>45163.37561342592</v>
      </c>
      <c r="C989" s="1" t="n">
        <v>46073</v>
      </c>
      <c r="D989" t="inlineStr">
        <is>
          <t>KRONOBERGS LÄN</t>
        </is>
      </c>
      <c r="E989" t="inlineStr">
        <is>
          <t>LJUNGBY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21724-2022</t>
        </is>
      </c>
      <c r="B990" s="1" t="n">
        <v>44706</v>
      </c>
      <c r="C990" s="1" t="n">
        <v>46073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44144-2023</t>
        </is>
      </c>
      <c r="B991" s="1" t="n">
        <v>45188.4716550926</v>
      </c>
      <c r="C991" s="1" t="n">
        <v>46073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33105-2023</t>
        </is>
      </c>
      <c r="B992" s="1" t="n">
        <v>45126</v>
      </c>
      <c r="C992" s="1" t="n">
        <v>46073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43844-2023</t>
        </is>
      </c>
      <c r="B993" s="1" t="n">
        <v>45187.59305555555</v>
      </c>
      <c r="C993" s="1" t="n">
        <v>46073</v>
      </c>
      <c r="D993" t="inlineStr">
        <is>
          <t>KRONOBERGS LÄN</t>
        </is>
      </c>
      <c r="E993" t="inlineStr">
        <is>
          <t>LJUNGBY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29224-2022</t>
        </is>
      </c>
      <c r="B994" s="1" t="n">
        <v>44750</v>
      </c>
      <c r="C994" s="1" t="n">
        <v>46073</v>
      </c>
      <c r="D994" t="inlineStr">
        <is>
          <t>KRONOBERGS LÄN</t>
        </is>
      </c>
      <c r="E994" t="inlineStr">
        <is>
          <t>LJUNGBY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46181-2024</t>
        </is>
      </c>
      <c r="B995" s="1" t="n">
        <v>45581.49583333333</v>
      </c>
      <c r="C995" s="1" t="n">
        <v>46073</v>
      </c>
      <c r="D995" t="inlineStr">
        <is>
          <t>KRONOBERGS LÄN</t>
        </is>
      </c>
      <c r="E995" t="inlineStr">
        <is>
          <t>LJUNGBY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52516-2023</t>
        </is>
      </c>
      <c r="B996" s="1" t="n">
        <v>45225.49447916666</v>
      </c>
      <c r="C996" s="1" t="n">
        <v>46073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33500-2023</t>
        </is>
      </c>
      <c r="B997" s="1" t="n">
        <v>45131</v>
      </c>
      <c r="C997" s="1" t="n">
        <v>46073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45207.49881944444</v>
      </c>
      <c r="C998" s="1" t="n">
        <v>46073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17146-2025</t>
        </is>
      </c>
      <c r="B999" s="1" t="n">
        <v>45756.29621527778</v>
      </c>
      <c r="C999" s="1" t="n">
        <v>46073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53865-2023</t>
        </is>
      </c>
      <c r="B1000" s="1" t="n">
        <v>45231</v>
      </c>
      <c r="C1000" s="1" t="n">
        <v>46073</v>
      </c>
      <c r="D1000" t="inlineStr">
        <is>
          <t>KRONOBERGS LÄN</t>
        </is>
      </c>
      <c r="E1000" t="inlineStr">
        <is>
          <t>LJUNGBY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61420-2023</t>
        </is>
      </c>
      <c r="B1001" s="1" t="n">
        <v>45264.68074074074</v>
      </c>
      <c r="C1001" s="1" t="n">
        <v>46073</v>
      </c>
      <c r="D1001" t="inlineStr">
        <is>
          <t>KRONOBERGS LÄN</t>
        </is>
      </c>
      <c r="E1001" t="inlineStr">
        <is>
          <t>LJUNGBY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13227-2025</t>
        </is>
      </c>
      <c r="B1002" s="1" t="n">
        <v>45735.46112268518</v>
      </c>
      <c r="C1002" s="1" t="n">
        <v>46073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15774-2025</t>
        </is>
      </c>
      <c r="B1003" s="1" t="n">
        <v>45748.59457175926</v>
      </c>
      <c r="C1003" s="1" t="n">
        <v>46073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40966-2022</t>
        </is>
      </c>
      <c r="B1004" s="1" t="n">
        <v>44825.46825231481</v>
      </c>
      <c r="C1004" s="1" t="n">
        <v>46073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27810-2024</t>
        </is>
      </c>
      <c r="B1005" s="1" t="n">
        <v>45475</v>
      </c>
      <c r="C1005" s="1" t="n">
        <v>46073</v>
      </c>
      <c r="D1005" t="inlineStr">
        <is>
          <t>KRONOBERGS LÄN</t>
        </is>
      </c>
      <c r="E1005" t="inlineStr">
        <is>
          <t>LJUNGBY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2960-2024</t>
        </is>
      </c>
      <c r="B1006" s="1" t="n">
        <v>45315.65311342593</v>
      </c>
      <c r="C1006" s="1" t="n">
        <v>46073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9033-2025</t>
        </is>
      </c>
      <c r="B1007" s="1" t="n">
        <v>45713</v>
      </c>
      <c r="C1007" s="1" t="n">
        <v>46073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8824-2025</t>
        </is>
      </c>
      <c r="B1008" s="1" t="n">
        <v>45712</v>
      </c>
      <c r="C1008" s="1" t="n">
        <v>46073</v>
      </c>
      <c r="D1008" t="inlineStr">
        <is>
          <t>KRONOBERGS LÄN</t>
        </is>
      </c>
      <c r="E1008" t="inlineStr">
        <is>
          <t>LJUNGBY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45215.48378472222</v>
      </c>
      <c r="C1009" s="1" t="n">
        <v>46073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20524-2025</t>
        </is>
      </c>
      <c r="B1010" s="1" t="n">
        <v>45775.60414351852</v>
      </c>
      <c r="C1010" s="1" t="n">
        <v>46073</v>
      </c>
      <c r="D1010" t="inlineStr">
        <is>
          <t>KRONOBERGS LÄN</t>
        </is>
      </c>
      <c r="E1010" t="inlineStr">
        <is>
          <t>LJUNGBY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4761-2024</t>
        </is>
      </c>
      <c r="B1011" s="1" t="n">
        <v>45328</v>
      </c>
      <c r="C1011" s="1" t="n">
        <v>46073</v>
      </c>
      <c r="D1011" t="inlineStr">
        <is>
          <t>KRONOBERGS LÄN</t>
        </is>
      </c>
      <c r="E1011" t="inlineStr">
        <is>
          <t>LJUNGBY</t>
        </is>
      </c>
      <c r="G1011" t="n">
        <v>51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45225.63777777777</v>
      </c>
      <c r="C1012" s="1" t="n">
        <v>46073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59857-2023</t>
        </is>
      </c>
      <c r="B1013" s="1" t="n">
        <v>45257.57825231482</v>
      </c>
      <c r="C1013" s="1" t="n">
        <v>46073</v>
      </c>
      <c r="D1013" t="inlineStr">
        <is>
          <t>KRONOBERGS LÄN</t>
        </is>
      </c>
      <c r="E1013" t="inlineStr">
        <is>
          <t>LJUNGBY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38544-2023</t>
        </is>
      </c>
      <c r="B1014" s="1" t="n">
        <v>45162.588125</v>
      </c>
      <c r="C1014" s="1" t="n">
        <v>46073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10755-2023</t>
        </is>
      </c>
      <c r="B1015" s="1" t="n">
        <v>44988.85038194444</v>
      </c>
      <c r="C1015" s="1" t="n">
        <v>46073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8835-2024</t>
        </is>
      </c>
      <c r="B1016" s="1" t="n">
        <v>45356.68585648148</v>
      </c>
      <c r="C1016" s="1" t="n">
        <v>46073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51096-2023</t>
        </is>
      </c>
      <c r="B1017" s="1" t="n">
        <v>45218.86829861111</v>
      </c>
      <c r="C1017" s="1" t="n">
        <v>46073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45919-2023</t>
        </is>
      </c>
      <c r="B1018" s="1" t="n">
        <v>45195.85668981481</v>
      </c>
      <c r="C1018" s="1" t="n">
        <v>46073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59688-2022</t>
        </is>
      </c>
      <c r="B1019" s="1" t="n">
        <v>44908</v>
      </c>
      <c r="C1019" s="1" t="n">
        <v>46073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48414-2022</t>
        </is>
      </c>
      <c r="B1020" s="1" t="n">
        <v>44858.63208333333</v>
      </c>
      <c r="C1020" s="1" t="n">
        <v>46073</v>
      </c>
      <c r="D1020" t="inlineStr">
        <is>
          <t>KRONOBERGS LÄN</t>
        </is>
      </c>
      <c r="E1020" t="inlineStr">
        <is>
          <t>LJUNGBY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47243-2022</t>
        </is>
      </c>
      <c r="B1021" s="1" t="n">
        <v>44852.89560185185</v>
      </c>
      <c r="C1021" s="1" t="n">
        <v>46073</v>
      </c>
      <c r="D1021" t="inlineStr">
        <is>
          <t>KRONOBERGS LÄN</t>
        </is>
      </c>
      <c r="E1021" t="inlineStr">
        <is>
          <t>LJUNGBY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8755-2025</t>
        </is>
      </c>
      <c r="B1022" s="1" t="n">
        <v>45712.57320601852</v>
      </c>
      <c r="C1022" s="1" t="n">
        <v>46073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14602-2025</t>
        </is>
      </c>
      <c r="B1023" s="1" t="n">
        <v>45742.36822916667</v>
      </c>
      <c r="C1023" s="1" t="n">
        <v>46073</v>
      </c>
      <c r="D1023" t="inlineStr">
        <is>
          <t>KRONOBERGS LÄN</t>
        </is>
      </c>
      <c r="E1023" t="inlineStr">
        <is>
          <t>LJUNGBY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64354-2023</t>
        </is>
      </c>
      <c r="B1024" s="1" t="n">
        <v>45280</v>
      </c>
      <c r="C1024" s="1" t="n">
        <v>46073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64052-2023</t>
        </is>
      </c>
      <c r="B1025" s="1" t="n">
        <v>45279</v>
      </c>
      <c r="C1025" s="1" t="n">
        <v>46073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61422-2023</t>
        </is>
      </c>
      <c r="B1026" s="1" t="n">
        <v>45264.68416666667</v>
      </c>
      <c r="C1026" s="1" t="n">
        <v>46073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28322-2023</t>
        </is>
      </c>
      <c r="B1027" s="1" t="n">
        <v>45099</v>
      </c>
      <c r="C1027" s="1" t="n">
        <v>46073</v>
      </c>
      <c r="D1027" t="inlineStr">
        <is>
          <t>KRONOBERGS LÄN</t>
        </is>
      </c>
      <c r="E1027" t="inlineStr">
        <is>
          <t>LJUNGBY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2159-2025</t>
        </is>
      </c>
      <c r="B1028" s="1" t="n">
        <v>45672.78414351852</v>
      </c>
      <c r="C1028" s="1" t="n">
        <v>46073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52618-2023</t>
        </is>
      </c>
      <c r="B1029" s="1" t="n">
        <v>45225.63304398148</v>
      </c>
      <c r="C1029" s="1" t="n">
        <v>46073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24401-2021</t>
        </is>
      </c>
      <c r="B1030" s="1" t="n">
        <v>44337.48540509259</v>
      </c>
      <c r="C1030" s="1" t="n">
        <v>46073</v>
      </c>
      <c r="D1030" t="inlineStr">
        <is>
          <t>KRONOBERGS LÄN</t>
        </is>
      </c>
      <c r="E1030" t="inlineStr">
        <is>
          <t>LJUNGBY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51495-2024</t>
        </is>
      </c>
      <c r="B1031" s="1" t="n">
        <v>45604.54047453704</v>
      </c>
      <c r="C1031" s="1" t="n">
        <v>46073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34433-2021</t>
        </is>
      </c>
      <c r="B1032" s="1" t="n">
        <v>44380</v>
      </c>
      <c r="C1032" s="1" t="n">
        <v>46073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13132-2025</t>
        </is>
      </c>
      <c r="B1033" s="1" t="n">
        <v>45734.93418981481</v>
      </c>
      <c r="C1033" s="1" t="n">
        <v>46073</v>
      </c>
      <c r="D1033" t="inlineStr">
        <is>
          <t>KRONOBERGS LÄN</t>
        </is>
      </c>
      <c r="E1033" t="inlineStr">
        <is>
          <t>LJUNGBY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12787-2025</t>
        </is>
      </c>
      <c r="B1034" s="1" t="n">
        <v>45733.60265046296</v>
      </c>
      <c r="C1034" s="1" t="n">
        <v>46073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14230-2022</t>
        </is>
      </c>
      <c r="B1035" s="1" t="n">
        <v>44651</v>
      </c>
      <c r="C1035" s="1" t="n">
        <v>46073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1387-2022</t>
        </is>
      </c>
      <c r="B1036" s="1" t="n">
        <v>44573</v>
      </c>
      <c r="C1036" s="1" t="n">
        <v>46073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9825-2022</t>
        </is>
      </c>
      <c r="B1037" s="1" t="n">
        <v>44620.45334490741</v>
      </c>
      <c r="C1037" s="1" t="n">
        <v>46073</v>
      </c>
      <c r="D1037" t="inlineStr">
        <is>
          <t>KRONOBERGS LÄN</t>
        </is>
      </c>
      <c r="E1037" t="inlineStr">
        <is>
          <t>LJUNGBY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42989-2024</t>
        </is>
      </c>
      <c r="B1038" s="1" t="n">
        <v>45567.37547453704</v>
      </c>
      <c r="C1038" s="1" t="n">
        <v>46073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56385-2022</t>
        </is>
      </c>
      <c r="B1039" s="1" t="n">
        <v>44887</v>
      </c>
      <c r="C1039" s="1" t="n">
        <v>46073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1720-2023</t>
        </is>
      </c>
      <c r="B1040" s="1" t="n">
        <v>44938</v>
      </c>
      <c r="C1040" s="1" t="n">
        <v>46073</v>
      </c>
      <c r="D1040" t="inlineStr">
        <is>
          <t>KRONOBERGS LÄN</t>
        </is>
      </c>
      <c r="E1040" t="inlineStr">
        <is>
          <t>LJUNGBY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45760-2021</t>
        </is>
      </c>
      <c r="B1041" s="1" t="n">
        <v>44441</v>
      </c>
      <c r="C1041" s="1" t="n">
        <v>46073</v>
      </c>
      <c r="D1041" t="inlineStr">
        <is>
          <t>KRONOBERGS LÄN</t>
        </is>
      </c>
      <c r="E1041" t="inlineStr">
        <is>
          <t>LJUNGBY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8225-2023</t>
        </is>
      </c>
      <c r="B1042" s="1" t="n">
        <v>44974.57127314815</v>
      </c>
      <c r="C1042" s="1" t="n">
        <v>46073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5363-2023</t>
        </is>
      </c>
      <c r="B1043" s="1" t="n">
        <v>44959.62519675926</v>
      </c>
      <c r="C1043" s="1" t="n">
        <v>46073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5401-2023</t>
        </is>
      </c>
      <c r="B1044" s="1" t="n">
        <v>44959</v>
      </c>
      <c r="C1044" s="1" t="n">
        <v>46073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5405-2023</t>
        </is>
      </c>
      <c r="B1045" s="1" t="n">
        <v>44959</v>
      </c>
      <c r="C1045" s="1" t="n">
        <v>46073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38407-2022</t>
        </is>
      </c>
      <c r="B1046" s="1" t="n">
        <v>44812</v>
      </c>
      <c r="C1046" s="1" t="n">
        <v>46073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37648-2022</t>
        </is>
      </c>
      <c r="B1047" s="1" t="n">
        <v>44810</v>
      </c>
      <c r="C1047" s="1" t="n">
        <v>46073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44287-2023</t>
        </is>
      </c>
      <c r="B1048" s="1" t="n">
        <v>45188</v>
      </c>
      <c r="C1048" s="1" t="n">
        <v>46073</v>
      </c>
      <c r="D1048" t="inlineStr">
        <is>
          <t>KRONOBERGS LÄN</t>
        </is>
      </c>
      <c r="E1048" t="inlineStr">
        <is>
          <t>LJUNGBY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38611-2023</t>
        </is>
      </c>
      <c r="B1049" s="1" t="n">
        <v>45162.65574074074</v>
      </c>
      <c r="C1049" s="1" t="n">
        <v>46073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62537-2022</t>
        </is>
      </c>
      <c r="B1050" s="1" t="n">
        <v>44924.66556712963</v>
      </c>
      <c r="C1050" s="1" t="n">
        <v>46073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14943-2022</t>
        </is>
      </c>
      <c r="B1051" s="1" t="n">
        <v>44657</v>
      </c>
      <c r="C1051" s="1" t="n">
        <v>46073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50950-2023</t>
        </is>
      </c>
      <c r="B1052" s="1" t="n">
        <v>45218.47658564815</v>
      </c>
      <c r="C1052" s="1" t="n">
        <v>46073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60600-2023</t>
        </is>
      </c>
      <c r="B1053" s="1" t="n">
        <v>45260.32738425926</v>
      </c>
      <c r="C1053" s="1" t="n">
        <v>46073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37164-2022</t>
        </is>
      </c>
      <c r="B1054" s="1" t="n">
        <v>44806.59946759259</v>
      </c>
      <c r="C1054" s="1" t="n">
        <v>46073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45205-2023</t>
        </is>
      </c>
      <c r="B1055" s="1" t="n">
        <v>45191.55503472222</v>
      </c>
      <c r="C1055" s="1" t="n">
        <v>46073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27540-2022</t>
        </is>
      </c>
      <c r="B1056" s="1" t="n">
        <v>44742.71030092592</v>
      </c>
      <c r="C1056" s="1" t="n">
        <v>46073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9444-2024</t>
        </is>
      </c>
      <c r="B1057" s="1" t="n">
        <v>45359.50601851852</v>
      </c>
      <c r="C1057" s="1" t="n">
        <v>46073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14493-2023</t>
        </is>
      </c>
      <c r="B1058" s="1" t="n">
        <v>45012</v>
      </c>
      <c r="C1058" s="1" t="n">
        <v>46073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8834-2024</t>
        </is>
      </c>
      <c r="B1059" s="1" t="n">
        <v>45356.68475694444</v>
      </c>
      <c r="C1059" s="1" t="n">
        <v>46073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58010-2021</t>
        </is>
      </c>
      <c r="B1060" s="1" t="n">
        <v>44487</v>
      </c>
      <c r="C1060" s="1" t="n">
        <v>46073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42209-2024</t>
        </is>
      </c>
      <c r="B1061" s="1" t="n">
        <v>45562.53543981481</v>
      </c>
      <c r="C1061" s="1" t="n">
        <v>46073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38641-2024</t>
        </is>
      </c>
      <c r="B1062" s="1" t="n">
        <v>45546.85369212963</v>
      </c>
      <c r="C1062" s="1" t="n">
        <v>46073</v>
      </c>
      <c r="D1062" t="inlineStr">
        <is>
          <t>KRONOBERGS LÄN</t>
        </is>
      </c>
      <c r="E1062" t="inlineStr">
        <is>
          <t>LJUNGBY</t>
        </is>
      </c>
      <c r="F1062" t="inlineStr">
        <is>
          <t>Sveaskog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51463-2024</t>
        </is>
      </c>
      <c r="B1063" s="1" t="n">
        <v>45604.4971412037</v>
      </c>
      <c r="C1063" s="1" t="n">
        <v>46073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48682-2024</t>
        </is>
      </c>
      <c r="B1064" s="1" t="n">
        <v>45593</v>
      </c>
      <c r="C1064" s="1" t="n">
        <v>46073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11128-2021</t>
        </is>
      </c>
      <c r="B1065" s="1" t="n">
        <v>44260</v>
      </c>
      <c r="C1065" s="1" t="n">
        <v>46073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52859-2023</t>
        </is>
      </c>
      <c r="B1066" s="1" t="n">
        <v>45226.44923611111</v>
      </c>
      <c r="C1066" s="1" t="n">
        <v>46073</v>
      </c>
      <c r="D1066" t="inlineStr">
        <is>
          <t>KRONOBERGS LÄN</t>
        </is>
      </c>
      <c r="E1066" t="inlineStr">
        <is>
          <t>LJUNGBY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43320-2024</t>
        </is>
      </c>
      <c r="B1067" s="1" t="n">
        <v>45568.46310185185</v>
      </c>
      <c r="C1067" s="1" t="n">
        <v>46073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27630-2023</t>
        </is>
      </c>
      <c r="B1068" s="1" t="n">
        <v>45097</v>
      </c>
      <c r="C1068" s="1" t="n">
        <v>46073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27533-2023</t>
        </is>
      </c>
      <c r="B1069" s="1" t="n">
        <v>45097</v>
      </c>
      <c r="C1069" s="1" t="n">
        <v>46073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18931-2025</t>
        </is>
      </c>
      <c r="B1070" s="1" t="n">
        <v>45764.48725694444</v>
      </c>
      <c r="C1070" s="1" t="n">
        <v>46073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24334-2023</t>
        </is>
      </c>
      <c r="B1071" s="1" t="n">
        <v>45081</v>
      </c>
      <c r="C1071" s="1" t="n">
        <v>46073</v>
      </c>
      <c r="D1071" t="inlineStr">
        <is>
          <t>KRONOBERGS LÄN</t>
        </is>
      </c>
      <c r="E1071" t="inlineStr">
        <is>
          <t>LJUNGBY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26858-2023</t>
        </is>
      </c>
      <c r="B1072" s="1" t="n">
        <v>45093</v>
      </c>
      <c r="C1072" s="1" t="n">
        <v>46073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1479-2024</t>
        </is>
      </c>
      <c r="B1073" s="1" t="n">
        <v>45305.57791666667</v>
      </c>
      <c r="C1073" s="1" t="n">
        <v>46073</v>
      </c>
      <c r="D1073" t="inlineStr">
        <is>
          <t>KRONOBERGS LÄN</t>
        </is>
      </c>
      <c r="E1073" t="inlineStr">
        <is>
          <t>LJUNGBY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51710-2024</t>
        </is>
      </c>
      <c r="B1074" s="1" t="n">
        <v>45607.36863425926</v>
      </c>
      <c r="C1074" s="1" t="n">
        <v>46073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27562-2023</t>
        </is>
      </c>
      <c r="B1075" s="1" t="n">
        <v>45097</v>
      </c>
      <c r="C1075" s="1" t="n">
        <v>46073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16917-2023</t>
        </is>
      </c>
      <c r="B1076" s="1" t="n">
        <v>45033</v>
      </c>
      <c r="C1076" s="1" t="n">
        <v>46073</v>
      </c>
      <c r="D1076" t="inlineStr">
        <is>
          <t>KRONOBERGS LÄN</t>
        </is>
      </c>
      <c r="E1076" t="inlineStr">
        <is>
          <t>LJUNGBY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26885-2024</t>
        </is>
      </c>
      <c r="B1077" s="1" t="n">
        <v>45470.64299768519</v>
      </c>
      <c r="C1077" s="1" t="n">
        <v>46073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26888-2024</t>
        </is>
      </c>
      <c r="B1078" s="1" t="n">
        <v>45470.64894675926</v>
      </c>
      <c r="C1078" s="1" t="n">
        <v>46073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14923-2021</t>
        </is>
      </c>
      <c r="B1079" s="1" t="n">
        <v>44281</v>
      </c>
      <c r="C1079" s="1" t="n">
        <v>46073</v>
      </c>
      <c r="D1079" t="inlineStr">
        <is>
          <t>KRONOBERGS LÄN</t>
        </is>
      </c>
      <c r="E1079" t="inlineStr">
        <is>
          <t>LJUNGBY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12676-2025</t>
        </is>
      </c>
      <c r="B1080" s="1" t="n">
        <v>45733.43582175926</v>
      </c>
      <c r="C1080" s="1" t="n">
        <v>46073</v>
      </c>
      <c r="D1080" t="inlineStr">
        <is>
          <t>KRONOBERGS LÄN</t>
        </is>
      </c>
      <c r="E1080" t="inlineStr">
        <is>
          <t>LJUNGBY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15358-2025</t>
        </is>
      </c>
      <c r="B1081" s="1" t="n">
        <v>45747.39269675926</v>
      </c>
      <c r="C1081" s="1" t="n">
        <v>46073</v>
      </c>
      <c r="D1081" t="inlineStr">
        <is>
          <t>KRONOBERGS LÄN</t>
        </is>
      </c>
      <c r="E1081" t="inlineStr">
        <is>
          <t>LJUNGBY</t>
        </is>
      </c>
      <c r="F1081" t="inlineStr">
        <is>
          <t>Sveaskog</t>
        </is>
      </c>
      <c r="G1081" t="n">
        <v>18.9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15359-2025</t>
        </is>
      </c>
      <c r="B1082" s="1" t="n">
        <v>45747.39408564815</v>
      </c>
      <c r="C1082" s="1" t="n">
        <v>46073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11365-2025</t>
        </is>
      </c>
      <c r="B1083" s="1" t="n">
        <v>45726.54469907407</v>
      </c>
      <c r="C1083" s="1" t="n">
        <v>46073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32509-2023</t>
        </is>
      </c>
      <c r="B1084" s="1" t="n">
        <v>45121.35078703704</v>
      </c>
      <c r="C1084" s="1" t="n">
        <v>46073</v>
      </c>
      <c r="D1084" t="inlineStr">
        <is>
          <t>KRONOBERGS LÄN</t>
        </is>
      </c>
      <c r="E1084" t="inlineStr">
        <is>
          <t>LJUNGBY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9895-2023</t>
        </is>
      </c>
      <c r="B1085" s="1" t="n">
        <v>44985</v>
      </c>
      <c r="C1085" s="1" t="n">
        <v>46073</v>
      </c>
      <c r="D1085" t="inlineStr">
        <is>
          <t>KRONOBERGS LÄN</t>
        </is>
      </c>
      <c r="E1085" t="inlineStr">
        <is>
          <t>LJUNGBY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17627-2025</t>
        </is>
      </c>
      <c r="B1086" s="1" t="n">
        <v>45757.94755787037</v>
      </c>
      <c r="C1086" s="1" t="n">
        <v>46073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7828-2024</t>
        </is>
      </c>
      <c r="B1087" s="1" t="n">
        <v>45349</v>
      </c>
      <c r="C1087" s="1" t="n">
        <v>46073</v>
      </c>
      <c r="D1087" t="inlineStr">
        <is>
          <t>KRONOBERGS LÄN</t>
        </is>
      </c>
      <c r="E1087" t="inlineStr">
        <is>
          <t>LJUNGBY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8798-2023</t>
        </is>
      </c>
      <c r="B1088" s="1" t="n">
        <v>44978.59528935186</v>
      </c>
      <c r="C1088" s="1" t="n">
        <v>46073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5482-2023</t>
        </is>
      </c>
      <c r="B1089" s="1" t="n">
        <v>44960.36971064815</v>
      </c>
      <c r="C1089" s="1" t="n">
        <v>46073</v>
      </c>
      <c r="D1089" t="inlineStr">
        <is>
          <t>KRONOBERGS LÄN</t>
        </is>
      </c>
      <c r="E1089" t="inlineStr">
        <is>
          <t>LJUNGBY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22123-2022</t>
        </is>
      </c>
      <c r="B1090" s="1" t="n">
        <v>44712</v>
      </c>
      <c r="C1090" s="1" t="n">
        <v>46073</v>
      </c>
      <c r="D1090" t="inlineStr">
        <is>
          <t>KRONOBERGS LÄN</t>
        </is>
      </c>
      <c r="E1090" t="inlineStr">
        <is>
          <t>LJUNGBY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383-2023</t>
        </is>
      </c>
      <c r="B1091" s="1" t="n">
        <v>44929</v>
      </c>
      <c r="C1091" s="1" t="n">
        <v>46073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64691-2023</t>
        </is>
      </c>
      <c r="B1092" s="1" t="n">
        <v>45281.63481481482</v>
      </c>
      <c r="C1092" s="1" t="n">
        <v>46073</v>
      </c>
      <c r="D1092" t="inlineStr">
        <is>
          <t>KRONOBERGS LÄN</t>
        </is>
      </c>
      <c r="E1092" t="inlineStr">
        <is>
          <t>LJUNGBY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59785-2024</t>
        </is>
      </c>
      <c r="B1093" s="1" t="n">
        <v>45639.58114583333</v>
      </c>
      <c r="C1093" s="1" t="n">
        <v>46073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4352-2025</t>
        </is>
      </c>
      <c r="B1094" s="1" t="n">
        <v>45686.3184375</v>
      </c>
      <c r="C1094" s="1" t="n">
        <v>46073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59250-2023</t>
        </is>
      </c>
      <c r="B1095" s="1" t="n">
        <v>45253.54356481481</v>
      </c>
      <c r="C1095" s="1" t="n">
        <v>46073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16727-2025</t>
        </is>
      </c>
      <c r="B1096" s="1" t="n">
        <v>45754.52563657407</v>
      </c>
      <c r="C1096" s="1" t="n">
        <v>46073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16730-2025</t>
        </is>
      </c>
      <c r="B1097" s="1" t="n">
        <v>45754.52998842593</v>
      </c>
      <c r="C1097" s="1" t="n">
        <v>46073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10844-2023</t>
        </is>
      </c>
      <c r="B1098" s="1" t="n">
        <v>44991.34855324074</v>
      </c>
      <c r="C1098" s="1" t="n">
        <v>46073</v>
      </c>
      <c r="D1098" t="inlineStr">
        <is>
          <t>KRONOBERGS LÄN</t>
        </is>
      </c>
      <c r="E1098" t="inlineStr">
        <is>
          <t>LJUNGBY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7383-2023</t>
        </is>
      </c>
      <c r="B1099" s="1" t="n">
        <v>44971.45475694445</v>
      </c>
      <c r="C1099" s="1" t="n">
        <v>46073</v>
      </c>
      <c r="D1099" t="inlineStr">
        <is>
          <t>KRONOBERGS LÄN</t>
        </is>
      </c>
      <c r="E1099" t="inlineStr">
        <is>
          <t>LJUNGBY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32664-2023</t>
        </is>
      </c>
      <c r="B1100" s="1" t="n">
        <v>45111</v>
      </c>
      <c r="C1100" s="1" t="n">
        <v>46073</v>
      </c>
      <c r="D1100" t="inlineStr">
        <is>
          <t>KRONOBERGS LÄN</t>
        </is>
      </c>
      <c r="E1100" t="inlineStr">
        <is>
          <t>LJUNGBY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42784-2023</t>
        </is>
      </c>
      <c r="B1101" s="1" t="n">
        <v>45181</v>
      </c>
      <c r="C1101" s="1" t="n">
        <v>46073</v>
      </c>
      <c r="D1101" t="inlineStr">
        <is>
          <t>KRONOBERGS LÄN</t>
        </is>
      </c>
      <c r="E1101" t="inlineStr">
        <is>
          <t>LJUNGBY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32079-2023</t>
        </is>
      </c>
      <c r="B1102" s="1" t="n">
        <v>45119.58694444445</v>
      </c>
      <c r="C1102" s="1" t="n">
        <v>46073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50938-2024</t>
        </is>
      </c>
      <c r="B1103" s="1" t="n">
        <v>45602.91650462963</v>
      </c>
      <c r="C1103" s="1" t="n">
        <v>46073</v>
      </c>
      <c r="D1103" t="inlineStr">
        <is>
          <t>KRONOBERGS LÄN</t>
        </is>
      </c>
      <c r="E1103" t="inlineStr">
        <is>
          <t>LJUNGBY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51172-2022</t>
        </is>
      </c>
      <c r="B1104" s="1" t="n">
        <v>44868.56361111111</v>
      </c>
      <c r="C1104" s="1" t="n">
        <v>46073</v>
      </c>
      <c r="D1104" t="inlineStr">
        <is>
          <t>KRONOBERGS LÄN</t>
        </is>
      </c>
      <c r="E1104" t="inlineStr">
        <is>
          <t>LJUNGBY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54454-2022</t>
        </is>
      </c>
      <c r="B1105" s="1" t="n">
        <v>44882</v>
      </c>
      <c r="C1105" s="1" t="n">
        <v>46073</v>
      </c>
      <c r="D1105" t="inlineStr">
        <is>
          <t>KRONOBERGS LÄN</t>
        </is>
      </c>
      <c r="E1105" t="inlineStr">
        <is>
          <t>LJUNGBY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44304-2023</t>
        </is>
      </c>
      <c r="B1106" s="1" t="n">
        <v>45188</v>
      </c>
      <c r="C1106" s="1" t="n">
        <v>46073</v>
      </c>
      <c r="D1106" t="inlineStr">
        <is>
          <t>KRONOBERGS LÄN</t>
        </is>
      </c>
      <c r="E1106" t="inlineStr">
        <is>
          <t>LJUNGBY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25439-2024</t>
        </is>
      </c>
      <c r="B1107" s="1" t="n">
        <v>45463.39309027778</v>
      </c>
      <c r="C1107" s="1" t="n">
        <v>46073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50882-2024</t>
        </is>
      </c>
      <c r="B1108" s="1" t="n">
        <v>45602.65810185186</v>
      </c>
      <c r="C1108" s="1" t="n">
        <v>46073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2088-2025</t>
        </is>
      </c>
      <c r="B1109" s="1" t="n">
        <v>45672.591875</v>
      </c>
      <c r="C1109" s="1" t="n">
        <v>46073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39505-2024</t>
        </is>
      </c>
      <c r="B1110" s="1" t="n">
        <v>45551</v>
      </c>
      <c r="C1110" s="1" t="n">
        <v>46073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54682-2022</t>
        </is>
      </c>
      <c r="B1111" s="1" t="n">
        <v>44883</v>
      </c>
      <c r="C1111" s="1" t="n">
        <v>46073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40088-2022</t>
        </is>
      </c>
      <c r="B1112" s="1" t="n">
        <v>44820.47260416667</v>
      </c>
      <c r="C1112" s="1" t="n">
        <v>46073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53415-2024</t>
        </is>
      </c>
      <c r="B1113" s="1" t="n">
        <v>45614.50907407407</v>
      </c>
      <c r="C1113" s="1" t="n">
        <v>46073</v>
      </c>
      <c r="D1113" t="inlineStr">
        <is>
          <t>KRONOBERGS LÄN</t>
        </is>
      </c>
      <c r="E1113" t="inlineStr">
        <is>
          <t>LJUNGBY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21863-2023</t>
        </is>
      </c>
      <c r="B1114" s="1" t="n">
        <v>45068.45921296296</v>
      </c>
      <c r="C1114" s="1" t="n">
        <v>46073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3230-2025</t>
        </is>
      </c>
      <c r="B1115" s="1" t="n">
        <v>45679.48483796296</v>
      </c>
      <c r="C1115" s="1" t="n">
        <v>46073</v>
      </c>
      <c r="D1115" t="inlineStr">
        <is>
          <t>KRONOBERGS LÄN</t>
        </is>
      </c>
      <c r="E1115" t="inlineStr">
        <is>
          <t>LJUNGBY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15580-2024</t>
        </is>
      </c>
      <c r="B1116" s="1" t="n">
        <v>45401.69138888889</v>
      </c>
      <c r="C1116" s="1" t="n">
        <v>46073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16860-2024</t>
        </is>
      </c>
      <c r="B1117" s="1" t="n">
        <v>45410</v>
      </c>
      <c r="C1117" s="1" t="n">
        <v>46073</v>
      </c>
      <c r="D1117" t="inlineStr">
        <is>
          <t>KRONOBERGS LÄN</t>
        </is>
      </c>
      <c r="E1117" t="inlineStr">
        <is>
          <t>LJUNGBY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28676-2023</t>
        </is>
      </c>
      <c r="B1118" s="1" t="n">
        <v>45103.67451388889</v>
      </c>
      <c r="C1118" s="1" t="n">
        <v>46073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38427-2023</t>
        </is>
      </c>
      <c r="B1119" s="1" t="n">
        <v>45162</v>
      </c>
      <c r="C1119" s="1" t="n">
        <v>46073</v>
      </c>
      <c r="D1119" t="inlineStr">
        <is>
          <t>KRONOBERGS LÄN</t>
        </is>
      </c>
      <c r="E1119" t="inlineStr">
        <is>
          <t>LJUNGBY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40675-2023</t>
        </is>
      </c>
      <c r="B1120" s="1" t="n">
        <v>45170</v>
      </c>
      <c r="C1120" s="1" t="n">
        <v>46073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886-2024</t>
        </is>
      </c>
      <c r="B1121" s="1" t="n">
        <v>45301</v>
      </c>
      <c r="C1121" s="1" t="n">
        <v>46073</v>
      </c>
      <c r="D1121" t="inlineStr">
        <is>
          <t>KRONOBERGS LÄN</t>
        </is>
      </c>
      <c r="E1121" t="inlineStr">
        <is>
          <t>LJUNGBY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6812-2025</t>
        </is>
      </c>
      <c r="B1122" s="1" t="n">
        <v>45700.69467592592</v>
      </c>
      <c r="C1122" s="1" t="n">
        <v>46073</v>
      </c>
      <c r="D1122" t="inlineStr">
        <is>
          <t>KRONOBERGS LÄN</t>
        </is>
      </c>
      <c r="E1122" t="inlineStr">
        <is>
          <t>LJUNGBY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21756-2023</t>
        </is>
      </c>
      <c r="B1123" s="1" t="n">
        <v>45065</v>
      </c>
      <c r="C1123" s="1" t="n">
        <v>46073</v>
      </c>
      <c r="D1123" t="inlineStr">
        <is>
          <t>KRONOBERGS LÄN</t>
        </is>
      </c>
      <c r="E1123" t="inlineStr">
        <is>
          <t>LJUNGBY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32685-2023</t>
        </is>
      </c>
      <c r="B1124" s="1" t="n">
        <v>45121.70020833334</v>
      </c>
      <c r="C1124" s="1" t="n">
        <v>46073</v>
      </c>
      <c r="D1124" t="inlineStr">
        <is>
          <t>KRONOBERGS LÄN</t>
        </is>
      </c>
      <c r="E1124" t="inlineStr">
        <is>
          <t>LJUNGBY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53792-2024</t>
        </is>
      </c>
      <c r="B1125" s="1" t="n">
        <v>45615.57574074074</v>
      </c>
      <c r="C1125" s="1" t="n">
        <v>46073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35488-2023</t>
        </is>
      </c>
      <c r="B1126" s="1" t="n">
        <v>45146.71684027778</v>
      </c>
      <c r="C1126" s="1" t="n">
        <v>46073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58227-2024</t>
        </is>
      </c>
      <c r="B1127" s="1" t="n">
        <v>45632.51193287037</v>
      </c>
      <c r="C1127" s="1" t="n">
        <v>46073</v>
      </c>
      <c r="D1127" t="inlineStr">
        <is>
          <t>KRONOBERGS LÄN</t>
        </is>
      </c>
      <c r="E1127" t="inlineStr">
        <is>
          <t>LJUNGBY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49302-2023</t>
        </is>
      </c>
      <c r="B1128" s="1" t="n">
        <v>45210</v>
      </c>
      <c r="C1128" s="1" t="n">
        <v>46073</v>
      </c>
      <c r="D1128" t="inlineStr">
        <is>
          <t>KRONOBERGS LÄN</t>
        </is>
      </c>
      <c r="E1128" t="inlineStr">
        <is>
          <t>LJUNGBY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51537-2024</t>
        </is>
      </c>
      <c r="B1129" s="1" t="n">
        <v>45603</v>
      </c>
      <c r="C1129" s="1" t="n">
        <v>46073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15847-2025</t>
        </is>
      </c>
      <c r="B1130" s="1" t="n">
        <v>45748.90723379629</v>
      </c>
      <c r="C1130" s="1" t="n">
        <v>46073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42669-2023</t>
        </is>
      </c>
      <c r="B1131" s="1" t="n">
        <v>45181.56171296296</v>
      </c>
      <c r="C1131" s="1" t="n">
        <v>46073</v>
      </c>
      <c r="D1131" t="inlineStr">
        <is>
          <t>KRONOBERGS LÄN</t>
        </is>
      </c>
      <c r="E1131" t="inlineStr">
        <is>
          <t>LJUNGBY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17037-2024</t>
        </is>
      </c>
      <c r="B1132" s="1" t="n">
        <v>45412</v>
      </c>
      <c r="C1132" s="1" t="n">
        <v>46073</v>
      </c>
      <c r="D1132" t="inlineStr">
        <is>
          <t>KRONOBERGS LÄN</t>
        </is>
      </c>
      <c r="E1132" t="inlineStr">
        <is>
          <t>LJUNGBY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42021-2024</t>
        </is>
      </c>
      <c r="B1133" s="1" t="n">
        <v>45561.7159837963</v>
      </c>
      <c r="C1133" s="1" t="n">
        <v>46073</v>
      </c>
      <c r="D1133" t="inlineStr">
        <is>
          <t>KRONOBERGS LÄN</t>
        </is>
      </c>
      <c r="E1133" t="inlineStr">
        <is>
          <t>LJUNGBY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16983-2025</t>
        </is>
      </c>
      <c r="B1134" s="1" t="n">
        <v>45755.48740740741</v>
      </c>
      <c r="C1134" s="1" t="n">
        <v>46073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11524-2023</t>
        </is>
      </c>
      <c r="B1135" s="1" t="n">
        <v>44993</v>
      </c>
      <c r="C1135" s="1" t="n">
        <v>46073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27540-2023</t>
        </is>
      </c>
      <c r="B1136" s="1" t="n">
        <v>45097</v>
      </c>
      <c r="C1136" s="1" t="n">
        <v>46073</v>
      </c>
      <c r="D1136" t="inlineStr">
        <is>
          <t>KRONOBERGS LÄN</t>
        </is>
      </c>
      <c r="E1136" t="inlineStr">
        <is>
          <t>LJUNGBY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8572-2025</t>
        </is>
      </c>
      <c r="B1137" s="1" t="n">
        <v>45709.64976851852</v>
      </c>
      <c r="C1137" s="1" t="n">
        <v>46073</v>
      </c>
      <c r="D1137" t="inlineStr">
        <is>
          <t>KRONOBERGS LÄN</t>
        </is>
      </c>
      <c r="E1137" t="inlineStr">
        <is>
          <t>LJUNGBY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51867-2023</t>
        </is>
      </c>
      <c r="B1138" s="1" t="n">
        <v>45223</v>
      </c>
      <c r="C1138" s="1" t="n">
        <v>46073</v>
      </c>
      <c r="D1138" t="inlineStr">
        <is>
          <t>KRONOBERGS LÄN</t>
        </is>
      </c>
      <c r="E1138" t="inlineStr">
        <is>
          <t>LJUNGBY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9035-2025</t>
        </is>
      </c>
      <c r="B1139" s="1" t="n">
        <v>45713</v>
      </c>
      <c r="C1139" s="1" t="n">
        <v>46073</v>
      </c>
      <c r="D1139" t="inlineStr">
        <is>
          <t>KRONOBERGS LÄN</t>
        </is>
      </c>
      <c r="E1139" t="inlineStr">
        <is>
          <t>LJUNGBY</t>
        </is>
      </c>
      <c r="F1139" t="inlineStr">
        <is>
          <t>Sveaskog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9036-2025</t>
        </is>
      </c>
      <c r="B1140" s="1" t="n">
        <v>45713.62074074074</v>
      </c>
      <c r="C1140" s="1" t="n">
        <v>46073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58214-2023</t>
        </is>
      </c>
      <c r="B1141" s="1" t="n">
        <v>45250.44863425926</v>
      </c>
      <c r="C1141" s="1" t="n">
        <v>46073</v>
      </c>
      <c r="D1141" t="inlineStr">
        <is>
          <t>KRONOBERGS LÄN</t>
        </is>
      </c>
      <c r="E1141" t="inlineStr">
        <is>
          <t>LJUNGBY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58858-2022</t>
        </is>
      </c>
      <c r="B1142" s="1" t="n">
        <v>44903.53118055555</v>
      </c>
      <c r="C1142" s="1" t="n">
        <v>46073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29590-2023</t>
        </is>
      </c>
      <c r="B1143" s="1" t="n">
        <v>45106.89616898148</v>
      </c>
      <c r="C1143" s="1" t="n">
        <v>46073</v>
      </c>
      <c r="D1143" t="inlineStr">
        <is>
          <t>KRONOBERGS LÄN</t>
        </is>
      </c>
      <c r="E1143" t="inlineStr">
        <is>
          <t>LJUNGBY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38656-2024</t>
        </is>
      </c>
      <c r="B1144" s="1" t="n">
        <v>45546</v>
      </c>
      <c r="C1144" s="1" t="n">
        <v>46073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8503-2024</t>
        </is>
      </c>
      <c r="B1145" s="1" t="n">
        <v>45355.4612037037</v>
      </c>
      <c r="C1145" s="1" t="n">
        <v>46073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2961-2024</t>
        </is>
      </c>
      <c r="B1146" s="1" t="n">
        <v>45315.65375</v>
      </c>
      <c r="C1146" s="1" t="n">
        <v>46073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6493-2024</t>
        </is>
      </c>
      <c r="B1147" s="1" t="n">
        <v>45339</v>
      </c>
      <c r="C1147" s="1" t="n">
        <v>46073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62159-2024</t>
        </is>
      </c>
      <c r="B1148" s="1" t="n">
        <v>45656.78905092592</v>
      </c>
      <c r="C1148" s="1" t="n">
        <v>46073</v>
      </c>
      <c r="D1148" t="inlineStr">
        <is>
          <t>KRONOBERGS LÄN</t>
        </is>
      </c>
      <c r="E1148" t="inlineStr">
        <is>
          <t>LJUNGBY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52539-2021</t>
        </is>
      </c>
      <c r="B1149" s="1" t="n">
        <v>44466.48996527777</v>
      </c>
      <c r="C1149" s="1" t="n">
        <v>46073</v>
      </c>
      <c r="D1149" t="inlineStr">
        <is>
          <t>KRONOBERGS LÄN</t>
        </is>
      </c>
      <c r="E1149" t="inlineStr">
        <is>
          <t>LJUNGBY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7491-2023</t>
        </is>
      </c>
      <c r="B1150" s="1" t="n">
        <v>44971.69971064815</v>
      </c>
      <c r="C1150" s="1" t="n">
        <v>46073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11350-2025</t>
        </is>
      </c>
      <c r="B1151" s="1" t="n">
        <v>45726.51144675926</v>
      </c>
      <c r="C1151" s="1" t="n">
        <v>46073</v>
      </c>
      <c r="D1151" t="inlineStr">
        <is>
          <t>KRONOBERGS LÄN</t>
        </is>
      </c>
      <c r="E1151" t="inlineStr">
        <is>
          <t>LJUNGBY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29419-2021</t>
        </is>
      </c>
      <c r="B1152" s="1" t="n">
        <v>44361.5662962963</v>
      </c>
      <c r="C1152" s="1" t="n">
        <v>46073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52661-2024</t>
        </is>
      </c>
      <c r="B1153" s="1" t="n">
        <v>45610.36342592593</v>
      </c>
      <c r="C1153" s="1" t="n">
        <v>46073</v>
      </c>
      <c r="D1153" t="inlineStr">
        <is>
          <t>KRONOBERGS LÄN</t>
        </is>
      </c>
      <c r="E1153" t="inlineStr">
        <is>
          <t>LJUNGBY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64680-2023</t>
        </is>
      </c>
      <c r="B1154" s="1" t="n">
        <v>45281.62631944445</v>
      </c>
      <c r="C1154" s="1" t="n">
        <v>46073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3850-2022</t>
        </is>
      </c>
      <c r="B1155" s="1" t="n">
        <v>44587.40662037037</v>
      </c>
      <c r="C1155" s="1" t="n">
        <v>46073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64338-2023</t>
        </is>
      </c>
      <c r="B1156" s="1" t="n">
        <v>45279</v>
      </c>
      <c r="C1156" s="1" t="n">
        <v>46073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44169-2023</t>
        </is>
      </c>
      <c r="B1157" s="1" t="n">
        <v>45188.49987268518</v>
      </c>
      <c r="C1157" s="1" t="n">
        <v>46073</v>
      </c>
      <c r="D1157" t="inlineStr">
        <is>
          <t>KRONOBERGS LÄN</t>
        </is>
      </c>
      <c r="E1157" t="inlineStr">
        <is>
          <t>LJUNGBY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63395-2023</t>
        </is>
      </c>
      <c r="B1158" s="1" t="n">
        <v>45274</v>
      </c>
      <c r="C1158" s="1" t="n">
        <v>46073</v>
      </c>
      <c r="D1158" t="inlineStr">
        <is>
          <t>KRONOBERGS LÄN</t>
        </is>
      </c>
      <c r="E1158" t="inlineStr">
        <is>
          <t>LJUNGBY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38976-2024</t>
        </is>
      </c>
      <c r="B1159" s="1" t="n">
        <v>45548.38636574074</v>
      </c>
      <c r="C1159" s="1" t="n">
        <v>46073</v>
      </c>
      <c r="D1159" t="inlineStr">
        <is>
          <t>KRONOBERGS LÄN</t>
        </is>
      </c>
      <c r="E1159" t="inlineStr">
        <is>
          <t>LJUNGBY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52844-2024</t>
        </is>
      </c>
      <c r="B1160" s="1" t="n">
        <v>45610.60157407408</v>
      </c>
      <c r="C1160" s="1" t="n">
        <v>46073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49084-2024</t>
        </is>
      </c>
      <c r="B1161" s="1" t="n">
        <v>45594.6306712963</v>
      </c>
      <c r="C1161" s="1" t="n">
        <v>46073</v>
      </c>
      <c r="D1161" t="inlineStr">
        <is>
          <t>KRONOBERGS LÄN</t>
        </is>
      </c>
      <c r="E1161" t="inlineStr">
        <is>
          <t>LJUNGBY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23590-2023</t>
        </is>
      </c>
      <c r="B1162" s="1" t="n">
        <v>45077.43420138889</v>
      </c>
      <c r="C1162" s="1" t="n">
        <v>46073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33115-2021</t>
        </is>
      </c>
      <c r="B1163" s="1" t="n">
        <v>44376</v>
      </c>
      <c r="C1163" s="1" t="n">
        <v>46073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15576-2025</t>
        </is>
      </c>
      <c r="B1164" s="1" t="n">
        <v>45747</v>
      </c>
      <c r="C1164" s="1" t="n">
        <v>46073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9336-2025</t>
        </is>
      </c>
      <c r="B1165" s="1" t="n">
        <v>45714.80880787037</v>
      </c>
      <c r="C1165" s="1" t="n">
        <v>46073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23160-2023</t>
        </is>
      </c>
      <c r="B1166" s="1" t="n">
        <v>45075.53265046296</v>
      </c>
      <c r="C1166" s="1" t="n">
        <v>46073</v>
      </c>
      <c r="D1166" t="inlineStr">
        <is>
          <t>KRONOBERGS LÄN</t>
        </is>
      </c>
      <c r="E1166" t="inlineStr">
        <is>
          <t>LJUNGBY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58781-2024</t>
        </is>
      </c>
      <c r="B1167" s="1" t="n">
        <v>45635.84936342593</v>
      </c>
      <c r="C1167" s="1" t="n">
        <v>46073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59195-2024</t>
        </is>
      </c>
      <c r="B1168" s="1" t="n">
        <v>45637.54557870371</v>
      </c>
      <c r="C1168" s="1" t="n">
        <v>46073</v>
      </c>
      <c r="D1168" t="inlineStr">
        <is>
          <t>KRONOBERGS LÄN</t>
        </is>
      </c>
      <c r="E1168" t="inlineStr">
        <is>
          <t>LJUNGBY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10697-2025</t>
        </is>
      </c>
      <c r="B1169" s="1" t="n">
        <v>45722.31061342593</v>
      </c>
      <c r="C1169" s="1" t="n">
        <v>46073</v>
      </c>
      <c r="D1169" t="inlineStr">
        <is>
          <t>KRONOBERGS LÄN</t>
        </is>
      </c>
      <c r="E1169" t="inlineStr">
        <is>
          <t>LJUNGBY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59778-2024</t>
        </is>
      </c>
      <c r="B1170" s="1" t="n">
        <v>45639</v>
      </c>
      <c r="C1170" s="1" t="n">
        <v>46073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37320-2023</t>
        </is>
      </c>
      <c r="B1171" s="1" t="n">
        <v>45156</v>
      </c>
      <c r="C1171" s="1" t="n">
        <v>46073</v>
      </c>
      <c r="D1171" t="inlineStr">
        <is>
          <t>KRONOBERGS LÄN</t>
        </is>
      </c>
      <c r="E1171" t="inlineStr">
        <is>
          <t>LJUNGBY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2026-02-20T11:03:01Z</dcterms:created>
  <dcterms:modified xmlns:dcterms="http://purl.org/dc/terms/" xmlns:xsi="http://www.w3.org/2001/XMLSchema-instance" xsi:type="dcterms:W3CDTF">2026-02-20T11:03:02Z</dcterms:modified>
</cp:coreProperties>
</file>