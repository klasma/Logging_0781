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45812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7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Kricka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45812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45812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45812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45812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45812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45812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45812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45812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45812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45812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45812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45812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45812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45812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45812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45812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45812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45812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45812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45812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45812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45812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45812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45812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45812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45812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13014-2021</t>
        </is>
      </c>
      <c r="B29" s="1" t="n">
        <v>44271</v>
      </c>
      <c r="C29" s="1" t="n">
        <v>45812</v>
      </c>
      <c r="D29" t="inlineStr">
        <is>
          <t>KRONOBERGS LÄN</t>
        </is>
      </c>
      <c r="E29" t="inlineStr">
        <is>
          <t>LJUNGBY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HYPERLINK("https://klasma.github.io/Logging_0781/artfynd/A 13014-2021 artfynd.xlsx", "A 13014-2021")</f>
        <v/>
      </c>
      <c r="T29">
        <f>HYPERLINK("https://klasma.github.io/Logging_0781/kartor/A 13014-2021 karta.png", "A 13014-2021")</f>
        <v/>
      </c>
      <c r="V29">
        <f>HYPERLINK("https://klasma.github.io/Logging_0781/klagomål/A 13014-2021 FSC-klagomål.docx", "A 13014-2021")</f>
        <v/>
      </c>
      <c r="W29">
        <f>HYPERLINK("https://klasma.github.io/Logging_0781/klagomålsmail/A 13014-2021 FSC-klagomål mail.docx", "A 13014-2021")</f>
        <v/>
      </c>
      <c r="X29">
        <f>HYPERLINK("https://klasma.github.io/Logging_0781/tillsyn/A 13014-2021 tillsynsbegäran.docx", "A 13014-2021")</f>
        <v/>
      </c>
      <c r="Y29">
        <f>HYPERLINK("https://klasma.github.io/Logging_0781/tillsynsmail/A 13014-2021 tillsynsbegäran mail.docx", "A 13014-2021")</f>
        <v/>
      </c>
    </row>
    <row r="30" ht="15" customHeight="1">
      <c r="A30" t="inlineStr">
        <is>
          <t>A 16358-2021</t>
        </is>
      </c>
      <c r="B30" s="1" t="n">
        <v>44292</v>
      </c>
      <c r="C30" s="1" t="n">
        <v>45812</v>
      </c>
      <c r="D30" t="inlineStr">
        <is>
          <t>KRONOBERGS LÄN</t>
        </is>
      </c>
      <c r="E30" t="inlineStr">
        <is>
          <t>LJUNGBY</t>
        </is>
      </c>
      <c r="G30" t="n">
        <v>3.5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HYPERLINK("https://klasma.github.io/Logging_0781/artfynd/A 16358-2021 artfynd.xlsx", "A 16358-2021")</f>
        <v/>
      </c>
      <c r="T30">
        <f>HYPERLINK("https://klasma.github.io/Logging_0781/kartor/A 16358-2021 karta.png", "A 16358-2021")</f>
        <v/>
      </c>
      <c r="V30">
        <f>HYPERLINK("https://klasma.github.io/Logging_0781/klagomål/A 16358-2021 FSC-klagomål.docx", "A 16358-2021")</f>
        <v/>
      </c>
      <c r="W30">
        <f>HYPERLINK("https://klasma.github.io/Logging_0781/klagomålsmail/A 16358-2021 FSC-klagomål mail.docx", "A 16358-2021")</f>
        <v/>
      </c>
      <c r="X30">
        <f>HYPERLINK("https://klasma.github.io/Logging_0781/tillsyn/A 16358-2021 tillsynsbegäran.docx", "A 16358-2021")</f>
        <v/>
      </c>
      <c r="Y30">
        <f>HYPERLINK("https://klasma.github.io/Logging_0781/tillsynsmail/A 16358-2021 tillsynsbegäran mail.docx", "A 16358-2021")</f>
        <v/>
      </c>
    </row>
    <row r="31" ht="15" customHeight="1">
      <c r="A31" t="inlineStr">
        <is>
          <t>A 47908-2021</t>
        </is>
      </c>
      <c r="B31" s="1" t="n">
        <v>44448</v>
      </c>
      <c r="C31" s="1" t="n">
        <v>45812</v>
      </c>
      <c r="D31" t="inlineStr">
        <is>
          <t>KRONOBERGS LÄN</t>
        </is>
      </c>
      <c r="E31" t="inlineStr">
        <is>
          <t>LJUNGBY</t>
        </is>
      </c>
      <c r="G31" t="n">
        <v>4.4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47908-2021 artfynd.xlsx", "A 47908-2021")</f>
        <v/>
      </c>
      <c r="T31">
        <f>HYPERLINK("https://klasma.github.io/Logging_0781/kartor/A 47908-2021 karta.png", "A 47908-2021")</f>
        <v/>
      </c>
      <c r="U31">
        <f>HYPERLINK("https://klasma.github.io/Logging_0781/knärot/A 47908-2021 karta knärot.png", "A 47908-2021")</f>
        <v/>
      </c>
      <c r="V31">
        <f>HYPERLINK("https://klasma.github.io/Logging_0781/klagomål/A 47908-2021 FSC-klagomål.docx", "A 47908-2021")</f>
        <v/>
      </c>
      <c r="W31">
        <f>HYPERLINK("https://klasma.github.io/Logging_0781/klagomålsmail/A 47908-2021 FSC-klagomål mail.docx", "A 47908-2021")</f>
        <v/>
      </c>
      <c r="X31">
        <f>HYPERLINK("https://klasma.github.io/Logging_0781/tillsyn/A 47908-2021 tillsynsbegäran.docx", "A 47908-2021")</f>
        <v/>
      </c>
      <c r="Y31">
        <f>HYPERLINK("https://klasma.github.io/Logging_0781/tillsynsmail/A 47908-2021 tillsynsbegäran mail.docx", "A 47908-2021")</f>
        <v/>
      </c>
    </row>
    <row r="32" ht="15" customHeight="1">
      <c r="A32" t="inlineStr">
        <is>
          <t>A 47909-2021</t>
        </is>
      </c>
      <c r="B32" s="1" t="n">
        <v>44448</v>
      </c>
      <c r="C32" s="1" t="n">
        <v>45812</v>
      </c>
      <c r="D32" t="inlineStr">
        <is>
          <t>KRONOBERGS LÄN</t>
        </is>
      </c>
      <c r="E32" t="inlineStr">
        <is>
          <t>LJUNGBY</t>
        </is>
      </c>
      <c r="G32" t="n">
        <v>2.9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Klippfrullania</t>
        </is>
      </c>
      <c r="S32">
        <f>HYPERLINK("https://klasma.github.io/Logging_0781/artfynd/A 47909-2021 artfynd.xlsx", "A 47909-2021")</f>
        <v/>
      </c>
      <c r="T32">
        <f>HYPERLINK("https://klasma.github.io/Logging_0781/kartor/A 47909-2021 karta.png", "A 47909-2021")</f>
        <v/>
      </c>
      <c r="V32">
        <f>HYPERLINK("https://klasma.github.io/Logging_0781/klagomål/A 47909-2021 FSC-klagomål.docx", "A 47909-2021")</f>
        <v/>
      </c>
      <c r="W32">
        <f>HYPERLINK("https://klasma.github.io/Logging_0781/klagomålsmail/A 47909-2021 FSC-klagomål mail.docx", "A 47909-2021")</f>
        <v/>
      </c>
      <c r="X32">
        <f>HYPERLINK("https://klasma.github.io/Logging_0781/tillsyn/A 47909-2021 tillsynsbegäran.docx", "A 47909-2021")</f>
        <v/>
      </c>
      <c r="Y32">
        <f>HYPERLINK("https://klasma.github.io/Logging_0781/tillsynsmail/A 47909-2021 tillsynsbegäran mail.docx", "A 47909-2021")</f>
        <v/>
      </c>
    </row>
    <row r="33" ht="15" customHeight="1">
      <c r="A33" t="inlineStr">
        <is>
          <t>A 51284-2021</t>
        </is>
      </c>
      <c r="B33" s="1" t="n">
        <v>44461</v>
      </c>
      <c r="C33" s="1" t="n">
        <v>45812</v>
      </c>
      <c r="D33" t="inlineStr">
        <is>
          <t>KRONOBERGS LÄN</t>
        </is>
      </c>
      <c r="E33" t="inlineStr">
        <is>
          <t>LJUNGBY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HYPERLINK("https://klasma.github.io/Logging_0781/artfynd/A 51284-2021 artfynd.xlsx", "A 51284-2021")</f>
        <v/>
      </c>
      <c r="T33">
        <f>HYPERLINK("https://klasma.github.io/Logging_0781/kartor/A 51284-2021 karta.png", "A 51284-2021")</f>
        <v/>
      </c>
      <c r="V33">
        <f>HYPERLINK("https://klasma.github.io/Logging_0781/klagomål/A 51284-2021 FSC-klagomål.docx", "A 51284-2021")</f>
        <v/>
      </c>
      <c r="W33">
        <f>HYPERLINK("https://klasma.github.io/Logging_0781/klagomålsmail/A 51284-2021 FSC-klagomål mail.docx", "A 51284-2021")</f>
        <v/>
      </c>
      <c r="X33">
        <f>HYPERLINK("https://klasma.github.io/Logging_0781/tillsyn/A 51284-2021 tillsynsbegäran.docx", "A 51284-2021")</f>
        <v/>
      </c>
      <c r="Y33">
        <f>HYPERLINK("https://klasma.github.io/Logging_0781/tillsynsmail/A 51284-2021 tillsynsbegäran mail.docx", "A 51284-2021")</f>
        <v/>
      </c>
      <c r="Z33">
        <f>HYPERLINK("https://klasma.github.io/Logging_0781/fåglar/A 51284-2021 prioriterade fågelarter.docx", "A 51284-2021")</f>
        <v/>
      </c>
    </row>
    <row r="34" ht="15" customHeight="1">
      <c r="A34" t="inlineStr">
        <is>
          <t>A 60235-2021</t>
        </is>
      </c>
      <c r="B34" s="1" t="n">
        <v>44495</v>
      </c>
      <c r="C34" s="1" t="n">
        <v>45812</v>
      </c>
      <c r="D34" t="inlineStr">
        <is>
          <t>KRONOBERGS LÄN</t>
        </is>
      </c>
      <c r="E34" t="inlineStr">
        <is>
          <t>LJUNGBY</t>
        </is>
      </c>
      <c r="G34" t="n">
        <v>9.4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HYPERLINK("https://klasma.github.io/Logging_0781/artfynd/A 60235-2021 artfynd.xlsx", "A 60235-2021")</f>
        <v/>
      </c>
      <c r="T34">
        <f>HYPERLINK("https://klasma.github.io/Logging_0781/kartor/A 60235-2021 karta.png", "A 60235-2021")</f>
        <v/>
      </c>
      <c r="U34">
        <f>HYPERLINK("https://klasma.github.io/Logging_0781/knärot/A 60235-2021 karta knärot.png", "A 60235-2021")</f>
        <v/>
      </c>
      <c r="V34">
        <f>HYPERLINK("https://klasma.github.io/Logging_0781/klagomål/A 60235-2021 FSC-klagomål.docx", "A 60235-2021")</f>
        <v/>
      </c>
      <c r="W34">
        <f>HYPERLINK("https://klasma.github.io/Logging_0781/klagomålsmail/A 60235-2021 FSC-klagomål mail.docx", "A 60235-2021")</f>
        <v/>
      </c>
      <c r="X34">
        <f>HYPERLINK("https://klasma.github.io/Logging_0781/tillsyn/A 60235-2021 tillsynsbegäran.docx", "A 60235-2021")</f>
        <v/>
      </c>
      <c r="Y34">
        <f>HYPERLINK("https://klasma.github.io/Logging_0781/tillsynsmail/A 60235-2021 tillsynsbegäran mail.docx", "A 60235-2021")</f>
        <v/>
      </c>
    </row>
    <row r="35" ht="15" customHeight="1">
      <c r="A35" t="inlineStr">
        <is>
          <t>A 67665-2021</t>
        </is>
      </c>
      <c r="B35" s="1" t="n">
        <v>44524</v>
      </c>
      <c r="C35" s="1" t="n">
        <v>45812</v>
      </c>
      <c r="D35" t="inlineStr">
        <is>
          <t>KRONOBERGS LÄN</t>
        </is>
      </c>
      <c r="E35" t="inlineStr">
        <is>
          <t>LJUNGBY</t>
        </is>
      </c>
      <c r="G35" t="n">
        <v>7.8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Sjötåtel</t>
        </is>
      </c>
      <c r="S35">
        <f>HYPERLINK("https://klasma.github.io/Logging_0781/artfynd/A 67665-2021 artfynd.xlsx", "A 67665-2021")</f>
        <v/>
      </c>
      <c r="T35">
        <f>HYPERLINK("https://klasma.github.io/Logging_0781/kartor/A 67665-2021 karta.png", "A 67665-2021")</f>
        <v/>
      </c>
      <c r="V35">
        <f>HYPERLINK("https://klasma.github.io/Logging_0781/klagomål/A 67665-2021 FSC-klagomål.docx", "A 67665-2021")</f>
        <v/>
      </c>
      <c r="W35">
        <f>HYPERLINK("https://klasma.github.io/Logging_0781/klagomålsmail/A 67665-2021 FSC-klagomål mail.docx", "A 67665-2021")</f>
        <v/>
      </c>
      <c r="X35">
        <f>HYPERLINK("https://klasma.github.io/Logging_0781/tillsyn/A 67665-2021 tillsynsbegäran.docx", "A 67665-2021")</f>
        <v/>
      </c>
      <c r="Y35">
        <f>HYPERLINK("https://klasma.github.io/Logging_0781/tillsynsmail/A 67665-2021 tillsynsbegäran mail.docx", "A 67665-2021")</f>
        <v/>
      </c>
    </row>
    <row r="36" ht="15" customHeight="1">
      <c r="A36" t="inlineStr">
        <is>
          <t>A 3220-2022</t>
        </is>
      </c>
      <c r="B36" s="1" t="n">
        <v>44582</v>
      </c>
      <c r="C36" s="1" t="n">
        <v>45812</v>
      </c>
      <c r="D36" t="inlineStr">
        <is>
          <t>KRONOBERGS LÄN</t>
        </is>
      </c>
      <c r="E36" t="inlineStr">
        <is>
          <t>LJUNGBY</t>
        </is>
      </c>
      <c r="G36" t="n">
        <v>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3220-2022 artfynd.xlsx", "A 3220-2022")</f>
        <v/>
      </c>
      <c r="T36">
        <f>HYPERLINK("https://klasma.github.io/Logging_0781/kartor/A 3220-2022 karta.png", "A 3220-2022")</f>
        <v/>
      </c>
      <c r="V36">
        <f>HYPERLINK("https://klasma.github.io/Logging_0781/klagomål/A 3220-2022 FSC-klagomål.docx", "A 3220-2022")</f>
        <v/>
      </c>
      <c r="W36">
        <f>HYPERLINK("https://klasma.github.io/Logging_0781/klagomålsmail/A 3220-2022 FSC-klagomål mail.docx", "A 3220-2022")</f>
        <v/>
      </c>
      <c r="X36">
        <f>HYPERLINK("https://klasma.github.io/Logging_0781/tillsyn/A 3220-2022 tillsynsbegäran.docx", "A 3220-2022")</f>
        <v/>
      </c>
      <c r="Y36">
        <f>HYPERLINK("https://klasma.github.io/Logging_0781/tillsynsmail/A 3220-2022 tillsynsbegäran mail.docx", "A 3220-2022")</f>
        <v/>
      </c>
      <c r="Z36">
        <f>HYPERLINK("https://klasma.github.io/Logging_0781/fåglar/A 3220-2022 prioriterade fågelarter.docx", "A 3220-2022")</f>
        <v/>
      </c>
    </row>
    <row r="37" ht="15" customHeight="1">
      <c r="A37" t="inlineStr">
        <is>
          <t>A 13387-2022</t>
        </is>
      </c>
      <c r="B37" s="1" t="n">
        <v>44645</v>
      </c>
      <c r="C37" s="1" t="n">
        <v>45812</v>
      </c>
      <c r="D37" t="inlineStr">
        <is>
          <t>KRONOBERGS LÄN</t>
        </is>
      </c>
      <c r="E37" t="inlineStr">
        <is>
          <t>LJUNGBY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13387-2022 artfynd.xlsx", "A 13387-2022")</f>
        <v/>
      </c>
      <c r="T37">
        <f>HYPERLINK("https://klasma.github.io/Logging_0781/kartor/A 13387-2022 karta.png", "A 13387-2022")</f>
        <v/>
      </c>
      <c r="V37">
        <f>HYPERLINK("https://klasma.github.io/Logging_0781/klagomål/A 13387-2022 FSC-klagomål.docx", "A 13387-2022")</f>
        <v/>
      </c>
      <c r="W37">
        <f>HYPERLINK("https://klasma.github.io/Logging_0781/klagomålsmail/A 13387-2022 FSC-klagomål mail.docx", "A 13387-2022")</f>
        <v/>
      </c>
      <c r="X37">
        <f>HYPERLINK("https://klasma.github.io/Logging_0781/tillsyn/A 13387-2022 tillsynsbegäran.docx", "A 13387-2022")</f>
        <v/>
      </c>
      <c r="Y37">
        <f>HYPERLINK("https://klasma.github.io/Logging_0781/tillsynsmail/A 13387-2022 tillsynsbegäran mail.docx", "A 13387-2022")</f>
        <v/>
      </c>
    </row>
    <row r="38" ht="15" customHeight="1">
      <c r="A38" t="inlineStr">
        <is>
          <t>A 17570-2022</t>
        </is>
      </c>
      <c r="B38" s="1" t="n">
        <v>44679</v>
      </c>
      <c r="C38" s="1" t="n">
        <v>45812</v>
      </c>
      <c r="D38" t="inlineStr">
        <is>
          <t>KRONOBERGS LÄN</t>
        </is>
      </c>
      <c r="E38" t="inlineStr">
        <is>
          <t>LJUNGBY</t>
        </is>
      </c>
      <c r="G38" t="n">
        <v>0.5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17570-2022 artfynd.xlsx", "A 17570-2022")</f>
        <v/>
      </c>
      <c r="T38">
        <f>HYPERLINK("https://klasma.github.io/Logging_0781/kartor/A 17570-2022 karta.png", "A 17570-2022")</f>
        <v/>
      </c>
      <c r="V38">
        <f>HYPERLINK("https://klasma.github.io/Logging_0781/klagomål/A 17570-2022 FSC-klagomål.docx", "A 17570-2022")</f>
        <v/>
      </c>
      <c r="W38">
        <f>HYPERLINK("https://klasma.github.io/Logging_0781/klagomålsmail/A 17570-2022 FSC-klagomål mail.docx", "A 17570-2022")</f>
        <v/>
      </c>
      <c r="X38">
        <f>HYPERLINK("https://klasma.github.io/Logging_0781/tillsyn/A 17570-2022 tillsynsbegäran.docx", "A 17570-2022")</f>
        <v/>
      </c>
      <c r="Y38">
        <f>HYPERLINK("https://klasma.github.io/Logging_0781/tillsynsmail/A 17570-2022 tillsynsbegäran mail.docx", "A 17570-2022")</f>
        <v/>
      </c>
    </row>
    <row r="39" ht="15" customHeight="1">
      <c r="A39" t="inlineStr">
        <is>
          <t>A 33935-2022</t>
        </is>
      </c>
      <c r="B39" s="1" t="n">
        <v>44790</v>
      </c>
      <c r="C39" s="1" t="n">
        <v>45812</v>
      </c>
      <c r="D39" t="inlineStr">
        <is>
          <t>KRONOBERGS LÄN</t>
        </is>
      </c>
      <c r="E39" t="inlineStr">
        <is>
          <t>LJUNGBY</t>
        </is>
      </c>
      <c r="G39" t="n">
        <v>10.5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Äkta lopplummer</t>
        </is>
      </c>
      <c r="S39">
        <f>HYPERLINK("https://klasma.github.io/Logging_0781/artfynd/A 33935-2022 artfynd.xlsx", "A 33935-2022")</f>
        <v/>
      </c>
      <c r="T39">
        <f>HYPERLINK("https://klasma.github.io/Logging_0781/kartor/A 33935-2022 karta.png", "A 33935-2022")</f>
        <v/>
      </c>
      <c r="V39">
        <f>HYPERLINK("https://klasma.github.io/Logging_0781/klagomål/A 33935-2022 FSC-klagomål.docx", "A 33935-2022")</f>
        <v/>
      </c>
      <c r="W39">
        <f>HYPERLINK("https://klasma.github.io/Logging_0781/klagomålsmail/A 33935-2022 FSC-klagomål mail.docx", "A 33935-2022")</f>
        <v/>
      </c>
      <c r="X39">
        <f>HYPERLINK("https://klasma.github.io/Logging_0781/tillsyn/A 33935-2022 tillsynsbegäran.docx", "A 33935-2022")</f>
        <v/>
      </c>
      <c r="Y39">
        <f>HYPERLINK("https://klasma.github.io/Logging_0781/tillsynsmail/A 33935-2022 tillsynsbegäran mail.docx", "A 33935-2022")</f>
        <v/>
      </c>
    </row>
    <row r="40" ht="15" customHeight="1">
      <c r="A40" t="inlineStr">
        <is>
          <t>A 37378-2022</t>
        </is>
      </c>
      <c r="B40" s="1" t="n">
        <v>44809</v>
      </c>
      <c r="C40" s="1" t="n">
        <v>45812</v>
      </c>
      <c r="D40" t="inlineStr">
        <is>
          <t>KRONOBERGS LÄN</t>
        </is>
      </c>
      <c r="E40" t="inlineStr">
        <is>
          <t>LJUNGBY</t>
        </is>
      </c>
      <c r="G40" t="n">
        <v>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HYPERLINK("https://klasma.github.io/Logging_0781/artfynd/A 37378-2022 artfynd.xlsx", "A 37378-2022")</f>
        <v/>
      </c>
      <c r="T40">
        <f>HYPERLINK("https://klasma.github.io/Logging_0781/kartor/A 37378-2022 karta.png", "A 37378-2022")</f>
        <v/>
      </c>
      <c r="V40">
        <f>HYPERLINK("https://klasma.github.io/Logging_0781/klagomål/A 37378-2022 FSC-klagomål.docx", "A 37378-2022")</f>
        <v/>
      </c>
      <c r="W40">
        <f>HYPERLINK("https://klasma.github.io/Logging_0781/klagomålsmail/A 37378-2022 FSC-klagomål mail.docx", "A 37378-2022")</f>
        <v/>
      </c>
      <c r="X40">
        <f>HYPERLINK("https://klasma.github.io/Logging_0781/tillsyn/A 37378-2022 tillsynsbegäran.docx", "A 37378-2022")</f>
        <v/>
      </c>
      <c r="Y40">
        <f>HYPERLINK("https://klasma.github.io/Logging_0781/tillsynsmail/A 37378-2022 tillsynsbegäran mail.docx", "A 37378-2022")</f>
        <v/>
      </c>
      <c r="Z40">
        <f>HYPERLINK("https://klasma.github.io/Logging_0781/fåglar/A 37378-2022 prioriterade fågelarter.docx", "A 37378-2022")</f>
        <v/>
      </c>
    </row>
    <row r="41" ht="15" customHeight="1">
      <c r="A41" t="inlineStr">
        <is>
          <t>A 41124-2022</t>
        </is>
      </c>
      <c r="B41" s="1" t="n">
        <v>44825</v>
      </c>
      <c r="C41" s="1" t="n">
        <v>45812</v>
      </c>
      <c r="D41" t="inlineStr">
        <is>
          <t>KRONOBERGS LÄN</t>
        </is>
      </c>
      <c r="E41" t="inlineStr">
        <is>
          <t>LJUNGBY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Göktyta</t>
        </is>
      </c>
      <c r="S41">
        <f>HYPERLINK("https://klasma.github.io/Logging_0781/artfynd/A 41124-2022 artfynd.xlsx", "A 41124-2022")</f>
        <v/>
      </c>
      <c r="T41">
        <f>HYPERLINK("https://klasma.github.io/Logging_0781/kartor/A 41124-2022 karta.png", "A 41124-2022")</f>
        <v/>
      </c>
      <c r="V41">
        <f>HYPERLINK("https://klasma.github.io/Logging_0781/klagomål/A 41124-2022 FSC-klagomål.docx", "A 41124-2022")</f>
        <v/>
      </c>
      <c r="W41">
        <f>HYPERLINK("https://klasma.github.io/Logging_0781/klagomålsmail/A 41124-2022 FSC-klagomål mail.docx", "A 41124-2022")</f>
        <v/>
      </c>
      <c r="X41">
        <f>HYPERLINK("https://klasma.github.io/Logging_0781/tillsyn/A 41124-2022 tillsynsbegäran.docx", "A 41124-2022")</f>
        <v/>
      </c>
      <c r="Y41">
        <f>HYPERLINK("https://klasma.github.io/Logging_0781/tillsynsmail/A 41124-2022 tillsynsbegäran mail.docx", "A 41124-2022")</f>
        <v/>
      </c>
      <c r="Z41">
        <f>HYPERLINK("https://klasma.github.io/Logging_0781/fåglar/A 41124-2022 prioriterade fågelarter.docx", "A 41124-2022")</f>
        <v/>
      </c>
    </row>
    <row r="42" ht="15" customHeight="1">
      <c r="A42" t="inlineStr">
        <is>
          <t>A 205-2023</t>
        </is>
      </c>
      <c r="B42" s="1" t="n">
        <v>44928</v>
      </c>
      <c r="C42" s="1" t="n">
        <v>45812</v>
      </c>
      <c r="D42" t="inlineStr">
        <is>
          <t>KRONOBERGS LÄN</t>
        </is>
      </c>
      <c r="E42" t="inlineStr">
        <is>
          <t>LJUNGBY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HYPERLINK("https://klasma.github.io/Logging_0781/artfynd/A 205-2023 artfynd.xlsx", "A 205-2023")</f>
        <v/>
      </c>
      <c r="T42">
        <f>HYPERLINK("https://klasma.github.io/Logging_0781/kartor/A 205-2023 karta.png", "A 205-2023")</f>
        <v/>
      </c>
      <c r="V42">
        <f>HYPERLINK("https://klasma.github.io/Logging_0781/klagomål/A 205-2023 FSC-klagomål.docx", "A 205-2023")</f>
        <v/>
      </c>
      <c r="W42">
        <f>HYPERLINK("https://klasma.github.io/Logging_0781/klagomålsmail/A 205-2023 FSC-klagomål mail.docx", "A 205-2023")</f>
        <v/>
      </c>
      <c r="X42">
        <f>HYPERLINK("https://klasma.github.io/Logging_0781/tillsyn/A 205-2023 tillsynsbegäran.docx", "A 205-2023")</f>
        <v/>
      </c>
      <c r="Y42">
        <f>HYPERLINK("https://klasma.github.io/Logging_0781/tillsynsmail/A 205-2023 tillsynsbegäran mail.docx", "A 205-2023")</f>
        <v/>
      </c>
    </row>
    <row r="43" ht="15" customHeight="1">
      <c r="A43" t="inlineStr">
        <is>
          <t>A 9911-2023</t>
        </is>
      </c>
      <c r="B43" s="1" t="n">
        <v>44985</v>
      </c>
      <c r="C43" s="1" t="n">
        <v>45812</v>
      </c>
      <c r="D43" t="inlineStr">
        <is>
          <t>KRONOBERGS LÄN</t>
        </is>
      </c>
      <c r="E43" t="inlineStr">
        <is>
          <t>LJUNGBY</t>
        </is>
      </c>
      <c r="G43" t="n">
        <v>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Spindelblomster</t>
        </is>
      </c>
      <c r="S43">
        <f>HYPERLINK("https://klasma.github.io/Logging_0781/artfynd/A 9911-2023 artfynd.xlsx", "A 9911-2023")</f>
        <v/>
      </c>
      <c r="T43">
        <f>HYPERLINK("https://klasma.github.io/Logging_0781/kartor/A 9911-2023 karta.png", "A 9911-2023")</f>
        <v/>
      </c>
      <c r="V43">
        <f>HYPERLINK("https://klasma.github.io/Logging_0781/klagomål/A 9911-2023 FSC-klagomål.docx", "A 9911-2023")</f>
        <v/>
      </c>
      <c r="W43">
        <f>HYPERLINK("https://klasma.github.io/Logging_0781/klagomålsmail/A 9911-2023 FSC-klagomål mail.docx", "A 9911-2023")</f>
        <v/>
      </c>
      <c r="X43">
        <f>HYPERLINK("https://klasma.github.io/Logging_0781/tillsyn/A 9911-2023 tillsynsbegäran.docx", "A 9911-2023")</f>
        <v/>
      </c>
      <c r="Y43">
        <f>HYPERLINK("https://klasma.github.io/Logging_0781/tillsynsmail/A 9911-2023 tillsynsbegäran mail.docx", "A 9911-2023")</f>
        <v/>
      </c>
    </row>
    <row r="44" ht="15" customHeight="1">
      <c r="A44" t="inlineStr">
        <is>
          <t>A 13460-2023</t>
        </is>
      </c>
      <c r="B44" s="1" t="n">
        <v>45005</v>
      </c>
      <c r="C44" s="1" t="n">
        <v>45812</v>
      </c>
      <c r="D44" t="inlineStr">
        <is>
          <t>KRONOBERGS LÄN</t>
        </is>
      </c>
      <c r="E44" t="inlineStr">
        <is>
          <t>LJUNGBY</t>
        </is>
      </c>
      <c r="G44" t="n">
        <v>5.1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HYPERLINK("https://klasma.github.io/Logging_0781/artfynd/A 13460-2023 artfynd.xlsx", "A 13460-2023")</f>
        <v/>
      </c>
      <c r="T44">
        <f>HYPERLINK("https://klasma.github.io/Logging_0781/kartor/A 13460-2023 karta.png", "A 13460-2023")</f>
        <v/>
      </c>
      <c r="V44">
        <f>HYPERLINK("https://klasma.github.io/Logging_0781/klagomål/A 13460-2023 FSC-klagomål.docx", "A 13460-2023")</f>
        <v/>
      </c>
      <c r="W44">
        <f>HYPERLINK("https://klasma.github.io/Logging_0781/klagomålsmail/A 13460-2023 FSC-klagomål mail.docx", "A 13460-2023")</f>
        <v/>
      </c>
      <c r="X44">
        <f>HYPERLINK("https://klasma.github.io/Logging_0781/tillsyn/A 13460-2023 tillsynsbegäran.docx", "A 13460-2023")</f>
        <v/>
      </c>
      <c r="Y44">
        <f>HYPERLINK("https://klasma.github.io/Logging_0781/tillsynsmail/A 13460-2023 tillsynsbegäran mail.docx", "A 13460-2023")</f>
        <v/>
      </c>
      <c r="Z44">
        <f>HYPERLINK("https://klasma.github.io/Logging_0781/fåglar/A 13460-2023 prioriterade fågelarter.docx", "A 13460-2023")</f>
        <v/>
      </c>
    </row>
    <row r="45" ht="15" customHeight="1">
      <c r="A45" t="inlineStr">
        <is>
          <t>A 18430-2023</t>
        </is>
      </c>
      <c r="B45" s="1" t="n">
        <v>45042</v>
      </c>
      <c r="C45" s="1" t="n">
        <v>45812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HYPERLINK("https://klasma.github.io/Logging_0781/artfynd/A 18430-2023 artfynd.xlsx", "A 18430-2023")</f>
        <v/>
      </c>
      <c r="T45">
        <f>HYPERLINK("https://klasma.github.io/Logging_0781/kartor/A 18430-2023 karta.png", "A 18430-2023")</f>
        <v/>
      </c>
      <c r="U45">
        <f>HYPERLINK("https://klasma.github.io/Logging_0781/knärot/A 18430-2023 karta knärot.png", "A 18430-2023")</f>
        <v/>
      </c>
      <c r="V45">
        <f>HYPERLINK("https://klasma.github.io/Logging_0781/klagomål/A 18430-2023 FSC-klagomål.docx", "A 18430-2023")</f>
        <v/>
      </c>
      <c r="W45">
        <f>HYPERLINK("https://klasma.github.io/Logging_0781/klagomålsmail/A 18430-2023 FSC-klagomål mail.docx", "A 18430-2023")</f>
        <v/>
      </c>
      <c r="X45">
        <f>HYPERLINK("https://klasma.github.io/Logging_0781/tillsyn/A 18430-2023 tillsynsbegäran.docx", "A 18430-2023")</f>
        <v/>
      </c>
      <c r="Y45">
        <f>HYPERLINK("https://klasma.github.io/Logging_0781/tillsynsmail/A 18430-2023 tillsynsbegäran mail.docx", "A 18430-2023")</f>
        <v/>
      </c>
    </row>
    <row r="46" ht="15" customHeight="1">
      <c r="A46" t="inlineStr">
        <is>
          <t>A 25295-2023</t>
        </is>
      </c>
      <c r="B46" s="1" t="n">
        <v>45086</v>
      </c>
      <c r="C46" s="1" t="n">
        <v>45812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HYPERLINK("https://klasma.github.io/Logging_0781/artfynd/A 25295-2023 artfynd.xlsx", "A 25295-2023")</f>
        <v/>
      </c>
      <c r="T46">
        <f>HYPERLINK("https://klasma.github.io/Logging_0781/kartor/A 25295-2023 karta.png", "A 25295-2023")</f>
        <v/>
      </c>
      <c r="V46">
        <f>HYPERLINK("https://klasma.github.io/Logging_0781/klagomål/A 25295-2023 FSC-klagomål.docx", "A 25295-2023")</f>
        <v/>
      </c>
      <c r="W46">
        <f>HYPERLINK("https://klasma.github.io/Logging_0781/klagomålsmail/A 25295-2023 FSC-klagomål mail.docx", "A 25295-2023")</f>
        <v/>
      </c>
      <c r="X46">
        <f>HYPERLINK("https://klasma.github.io/Logging_0781/tillsyn/A 25295-2023 tillsynsbegäran.docx", "A 25295-2023")</f>
        <v/>
      </c>
      <c r="Y46">
        <f>HYPERLINK("https://klasma.github.io/Logging_0781/tillsynsmail/A 25295-2023 tillsynsbegäran mail.docx", "A 25295-2023")</f>
        <v/>
      </c>
    </row>
    <row r="47" ht="15" customHeight="1">
      <c r="A47" t="inlineStr">
        <is>
          <t>A 25595-2023</t>
        </is>
      </c>
      <c r="B47" s="1" t="n">
        <v>45089</v>
      </c>
      <c r="C47" s="1" t="n">
        <v>45812</v>
      </c>
      <c r="D47" t="inlineStr">
        <is>
          <t>KRONOBERGS LÄN</t>
        </is>
      </c>
      <c r="E47" t="inlineStr">
        <is>
          <t>LJUNGBY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Mosippa</t>
        </is>
      </c>
      <c r="S47">
        <f>HYPERLINK("https://klasma.github.io/Logging_0781/artfynd/A 25595-2023 artfynd.xlsx", "A 25595-2023")</f>
        <v/>
      </c>
      <c r="T47">
        <f>HYPERLINK("https://klasma.github.io/Logging_0781/kartor/A 25595-2023 karta.png", "A 25595-2023")</f>
        <v/>
      </c>
      <c r="V47">
        <f>HYPERLINK("https://klasma.github.io/Logging_0781/klagomål/A 25595-2023 FSC-klagomål.docx", "A 25595-2023")</f>
        <v/>
      </c>
      <c r="W47">
        <f>HYPERLINK("https://klasma.github.io/Logging_0781/klagomålsmail/A 25595-2023 FSC-klagomål mail.docx", "A 25595-2023")</f>
        <v/>
      </c>
      <c r="X47">
        <f>HYPERLINK("https://klasma.github.io/Logging_0781/tillsyn/A 25595-2023 tillsynsbegäran.docx", "A 25595-2023")</f>
        <v/>
      </c>
      <c r="Y47">
        <f>HYPERLINK("https://klasma.github.io/Logging_0781/tillsynsmail/A 25595-2023 tillsynsbegäran mail.docx", "A 25595-2023")</f>
        <v/>
      </c>
    </row>
    <row r="48" ht="15" customHeight="1">
      <c r="A48" t="inlineStr">
        <is>
          <t>A 30359-2023</t>
        </is>
      </c>
      <c r="B48" s="1" t="n">
        <v>45111</v>
      </c>
      <c r="C48" s="1" t="n">
        <v>45812</v>
      </c>
      <c r="D48" t="inlineStr">
        <is>
          <t>KRONOBERGS LÄN</t>
        </is>
      </c>
      <c r="E48" t="inlineStr">
        <is>
          <t>LJUNGBY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Brunpudrad nållav</t>
        </is>
      </c>
      <c r="S48">
        <f>HYPERLINK("https://klasma.github.io/Logging_0781/artfynd/A 30359-2023 artfynd.xlsx", "A 30359-2023")</f>
        <v/>
      </c>
      <c r="T48">
        <f>HYPERLINK("https://klasma.github.io/Logging_0781/kartor/A 30359-2023 karta.png", "A 30359-2023")</f>
        <v/>
      </c>
      <c r="V48">
        <f>HYPERLINK("https://klasma.github.io/Logging_0781/klagomål/A 30359-2023 FSC-klagomål.docx", "A 30359-2023")</f>
        <v/>
      </c>
      <c r="W48">
        <f>HYPERLINK("https://klasma.github.io/Logging_0781/klagomålsmail/A 30359-2023 FSC-klagomål mail.docx", "A 30359-2023")</f>
        <v/>
      </c>
      <c r="X48">
        <f>HYPERLINK("https://klasma.github.io/Logging_0781/tillsyn/A 30359-2023 tillsynsbegäran.docx", "A 30359-2023")</f>
        <v/>
      </c>
      <c r="Y48">
        <f>HYPERLINK("https://klasma.github.io/Logging_0781/tillsynsmail/A 30359-2023 tillsynsbegäran mail.docx", "A 30359-2023")</f>
        <v/>
      </c>
    </row>
    <row r="49" ht="15" customHeight="1">
      <c r="A49" t="inlineStr">
        <is>
          <t>A 42783-2023</t>
        </is>
      </c>
      <c r="B49" s="1" t="n">
        <v>45181</v>
      </c>
      <c r="C49" s="1" t="n">
        <v>45812</v>
      </c>
      <c r="D49" t="inlineStr">
        <is>
          <t>KRONOBERGS LÄN</t>
        </is>
      </c>
      <c r="E49" t="inlineStr">
        <is>
          <t>LJUNGBY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Hårklomossa</t>
        </is>
      </c>
      <c r="S49">
        <f>HYPERLINK("https://klasma.github.io/Logging_0781/artfynd/A 42783-2023 artfynd.xlsx", "A 42783-2023")</f>
        <v/>
      </c>
      <c r="T49">
        <f>HYPERLINK("https://klasma.github.io/Logging_0781/kartor/A 42783-2023 karta.png", "A 42783-2023")</f>
        <v/>
      </c>
      <c r="V49">
        <f>HYPERLINK("https://klasma.github.io/Logging_0781/klagomål/A 42783-2023 FSC-klagomål.docx", "A 42783-2023")</f>
        <v/>
      </c>
      <c r="W49">
        <f>HYPERLINK("https://klasma.github.io/Logging_0781/klagomålsmail/A 42783-2023 FSC-klagomål mail.docx", "A 42783-2023")</f>
        <v/>
      </c>
      <c r="X49">
        <f>HYPERLINK("https://klasma.github.io/Logging_0781/tillsyn/A 42783-2023 tillsynsbegäran.docx", "A 42783-2023")</f>
        <v/>
      </c>
      <c r="Y49">
        <f>HYPERLINK("https://klasma.github.io/Logging_0781/tillsynsmail/A 42783-2023 tillsynsbegäran mail.docx", "A 42783-2023")</f>
        <v/>
      </c>
    </row>
    <row r="50" ht="15" customHeight="1">
      <c r="A50" t="inlineStr">
        <is>
          <t>A 43831-2023</t>
        </is>
      </c>
      <c r="B50" s="1" t="n">
        <v>45187</v>
      </c>
      <c r="C50" s="1" t="n">
        <v>45812</v>
      </c>
      <c r="D50" t="inlineStr">
        <is>
          <t>KRONOBERGS LÄN</t>
        </is>
      </c>
      <c r="E50" t="inlineStr">
        <is>
          <t>LJUNGBY</t>
        </is>
      </c>
      <c r="G50" t="n">
        <v>1.3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Cypresslummer</t>
        </is>
      </c>
      <c r="S50">
        <f>HYPERLINK("https://klasma.github.io/Logging_0781/artfynd/A 43831-2023 artfynd.xlsx", "A 43831-2023")</f>
        <v/>
      </c>
      <c r="T50">
        <f>HYPERLINK("https://klasma.github.io/Logging_0781/kartor/A 43831-2023 karta.png", "A 43831-2023")</f>
        <v/>
      </c>
      <c r="V50">
        <f>HYPERLINK("https://klasma.github.io/Logging_0781/klagomål/A 43831-2023 FSC-klagomål.docx", "A 43831-2023")</f>
        <v/>
      </c>
      <c r="W50">
        <f>HYPERLINK("https://klasma.github.io/Logging_0781/klagomålsmail/A 43831-2023 FSC-klagomål mail.docx", "A 43831-2023")</f>
        <v/>
      </c>
      <c r="X50">
        <f>HYPERLINK("https://klasma.github.io/Logging_0781/tillsyn/A 43831-2023 tillsynsbegäran.docx", "A 43831-2023")</f>
        <v/>
      </c>
      <c r="Y50">
        <f>HYPERLINK("https://klasma.github.io/Logging_0781/tillsynsmail/A 43831-2023 tillsynsbegäran mail.docx", "A 43831-2023")</f>
        <v/>
      </c>
    </row>
    <row r="51" ht="15" customHeight="1">
      <c r="A51" t="inlineStr">
        <is>
          <t>A 49557-2023</t>
        </is>
      </c>
      <c r="B51" s="1" t="n">
        <v>45211</v>
      </c>
      <c r="C51" s="1" t="n">
        <v>45812</v>
      </c>
      <c r="D51" t="inlineStr">
        <is>
          <t>KRONOBERGS LÄN</t>
        </is>
      </c>
      <c r="E51" t="inlineStr">
        <is>
          <t>LJUNGBY</t>
        </is>
      </c>
      <c r="G51" t="n">
        <v>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HYPERLINK("https://klasma.github.io/Logging_0781/artfynd/A 49557-2023 artfynd.xlsx", "A 49557-2023")</f>
        <v/>
      </c>
      <c r="T51">
        <f>HYPERLINK("https://klasma.github.io/Logging_0781/kartor/A 49557-2023 karta.png", "A 49557-2023")</f>
        <v/>
      </c>
      <c r="V51">
        <f>HYPERLINK("https://klasma.github.io/Logging_0781/klagomål/A 49557-2023 FSC-klagomål.docx", "A 49557-2023")</f>
        <v/>
      </c>
      <c r="W51">
        <f>HYPERLINK("https://klasma.github.io/Logging_0781/klagomålsmail/A 49557-2023 FSC-klagomål mail.docx", "A 49557-2023")</f>
        <v/>
      </c>
      <c r="X51">
        <f>HYPERLINK("https://klasma.github.io/Logging_0781/tillsyn/A 49557-2023 tillsynsbegäran.docx", "A 49557-2023")</f>
        <v/>
      </c>
      <c r="Y51">
        <f>HYPERLINK("https://klasma.github.io/Logging_0781/tillsynsmail/A 49557-2023 tillsynsbegäran mail.docx", "A 49557-2023")</f>
        <v/>
      </c>
    </row>
    <row r="52" ht="15" customHeight="1">
      <c r="A52" t="inlineStr">
        <is>
          <t>A 63304-2023</t>
        </is>
      </c>
      <c r="B52" s="1" t="n">
        <v>45274</v>
      </c>
      <c r="C52" s="1" t="n">
        <v>45812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HYPERLINK("https://klasma.github.io/Logging_0781/artfynd/A 63304-2023 artfynd.xlsx", "A 63304-2023")</f>
        <v/>
      </c>
      <c r="T52">
        <f>HYPERLINK("https://klasma.github.io/Logging_0781/kartor/A 63304-2023 karta.png", "A 63304-2023")</f>
        <v/>
      </c>
      <c r="V52">
        <f>HYPERLINK("https://klasma.github.io/Logging_0781/klagomål/A 63304-2023 FSC-klagomål.docx", "A 63304-2023")</f>
        <v/>
      </c>
      <c r="W52">
        <f>HYPERLINK("https://klasma.github.io/Logging_0781/klagomålsmail/A 63304-2023 FSC-klagomål mail.docx", "A 63304-2023")</f>
        <v/>
      </c>
      <c r="X52">
        <f>HYPERLINK("https://klasma.github.io/Logging_0781/tillsyn/A 63304-2023 tillsynsbegäran.docx", "A 63304-2023")</f>
        <v/>
      </c>
      <c r="Y52">
        <f>HYPERLINK("https://klasma.github.io/Logging_0781/tillsynsmail/A 63304-2023 tillsynsbegäran mail.docx", "A 63304-2023")</f>
        <v/>
      </c>
    </row>
    <row r="53" ht="15" customHeight="1">
      <c r="A53" t="inlineStr">
        <is>
          <t>A 64830-2023</t>
        </is>
      </c>
      <c r="B53" s="1" t="n">
        <v>45282</v>
      </c>
      <c r="C53" s="1" t="n">
        <v>45812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64830-2023 artfynd.xlsx", "A 64830-2023")</f>
        <v/>
      </c>
      <c r="T53">
        <f>HYPERLINK("https://klasma.github.io/Logging_0781/kartor/A 64830-2023 karta.png", "A 64830-2023")</f>
        <v/>
      </c>
      <c r="V53">
        <f>HYPERLINK("https://klasma.github.io/Logging_0781/klagomål/A 64830-2023 FSC-klagomål.docx", "A 64830-2023")</f>
        <v/>
      </c>
      <c r="W53">
        <f>HYPERLINK("https://klasma.github.io/Logging_0781/klagomålsmail/A 64830-2023 FSC-klagomål mail.docx", "A 64830-2023")</f>
        <v/>
      </c>
      <c r="X53">
        <f>HYPERLINK("https://klasma.github.io/Logging_0781/tillsyn/A 64830-2023 tillsynsbegäran.docx", "A 64830-2023")</f>
        <v/>
      </c>
      <c r="Y53">
        <f>HYPERLINK("https://klasma.github.io/Logging_0781/tillsynsmail/A 64830-2023 tillsynsbegäran mail.docx", "A 64830-2023")</f>
        <v/>
      </c>
    </row>
    <row r="54" ht="15" customHeight="1">
      <c r="A54" t="inlineStr">
        <is>
          <t>A 11508-2024</t>
        </is>
      </c>
      <c r="B54" s="1" t="n">
        <v>45372</v>
      </c>
      <c r="C54" s="1" t="n">
        <v>45812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HYPERLINK("https://klasma.github.io/Logging_0781/artfynd/A 11508-2024 artfynd.xlsx", "A 11508-2024")</f>
        <v/>
      </c>
      <c r="T54">
        <f>HYPERLINK("https://klasma.github.io/Logging_0781/kartor/A 11508-2024 karta.png", "A 11508-2024")</f>
        <v/>
      </c>
      <c r="V54">
        <f>HYPERLINK("https://klasma.github.io/Logging_0781/klagomål/A 11508-2024 FSC-klagomål.docx", "A 11508-2024")</f>
        <v/>
      </c>
      <c r="W54">
        <f>HYPERLINK("https://klasma.github.io/Logging_0781/klagomålsmail/A 11508-2024 FSC-klagomål mail.docx", "A 11508-2024")</f>
        <v/>
      </c>
      <c r="X54">
        <f>HYPERLINK("https://klasma.github.io/Logging_0781/tillsyn/A 11508-2024 tillsynsbegäran.docx", "A 11508-2024")</f>
        <v/>
      </c>
      <c r="Y54">
        <f>HYPERLINK("https://klasma.github.io/Logging_0781/tillsynsmail/A 11508-2024 tillsynsbegäran mail.docx", "A 11508-2024")</f>
        <v/>
      </c>
    </row>
    <row r="55" ht="15" customHeight="1">
      <c r="A55" t="inlineStr">
        <is>
          <t>A 18593-2024</t>
        </is>
      </c>
      <c r="B55" s="1" t="n">
        <v>45425</v>
      </c>
      <c r="C55" s="1" t="n">
        <v>45812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HYPERLINK("https://klasma.github.io/Logging_0781/artfynd/A 18593-2024 artfynd.xlsx", "A 18593-2024")</f>
        <v/>
      </c>
      <c r="T55">
        <f>HYPERLINK("https://klasma.github.io/Logging_0781/kartor/A 18593-2024 karta.png", "A 18593-2024")</f>
        <v/>
      </c>
      <c r="U55">
        <f>HYPERLINK("https://klasma.github.io/Logging_0781/knärot/A 18593-2024 karta knärot.png", "A 18593-2024")</f>
        <v/>
      </c>
      <c r="V55">
        <f>HYPERLINK("https://klasma.github.io/Logging_0781/klagomål/A 18593-2024 FSC-klagomål.docx", "A 18593-2024")</f>
        <v/>
      </c>
      <c r="W55">
        <f>HYPERLINK("https://klasma.github.io/Logging_0781/klagomålsmail/A 18593-2024 FSC-klagomål mail.docx", "A 18593-2024")</f>
        <v/>
      </c>
      <c r="X55">
        <f>HYPERLINK("https://klasma.github.io/Logging_0781/tillsyn/A 18593-2024 tillsynsbegäran.docx", "A 18593-2024")</f>
        <v/>
      </c>
      <c r="Y55">
        <f>HYPERLINK("https://klasma.github.io/Logging_0781/tillsynsmail/A 18593-2024 tillsynsbegäran mail.docx", "A 18593-2024")</f>
        <v/>
      </c>
    </row>
    <row r="56" ht="15" customHeight="1">
      <c r="A56" t="inlineStr">
        <is>
          <t>A 28019-2024</t>
        </is>
      </c>
      <c r="B56" s="1" t="n">
        <v>45476</v>
      </c>
      <c r="C56" s="1" t="n">
        <v>45812</v>
      </c>
      <c r="D56" t="inlineStr">
        <is>
          <t>KRONOBERGS LÄN</t>
        </is>
      </c>
      <c r="E56" t="inlineStr">
        <is>
          <t>LJUNGBY</t>
        </is>
      </c>
      <c r="G56" t="n">
        <v>3.5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Spindelblomster</t>
        </is>
      </c>
      <c r="S56">
        <f>HYPERLINK("https://klasma.github.io/Logging_0781/artfynd/A 28019-2024 artfynd.xlsx", "A 28019-2024")</f>
        <v/>
      </c>
      <c r="T56">
        <f>HYPERLINK("https://klasma.github.io/Logging_0781/kartor/A 28019-2024 karta.png", "A 28019-2024")</f>
        <v/>
      </c>
      <c r="V56">
        <f>HYPERLINK("https://klasma.github.io/Logging_0781/klagomål/A 28019-2024 FSC-klagomål.docx", "A 28019-2024")</f>
        <v/>
      </c>
      <c r="W56">
        <f>HYPERLINK("https://klasma.github.io/Logging_0781/klagomålsmail/A 28019-2024 FSC-klagomål mail.docx", "A 28019-2024")</f>
        <v/>
      </c>
      <c r="X56">
        <f>HYPERLINK("https://klasma.github.io/Logging_0781/tillsyn/A 28019-2024 tillsynsbegäran.docx", "A 28019-2024")</f>
        <v/>
      </c>
      <c r="Y56">
        <f>HYPERLINK("https://klasma.github.io/Logging_0781/tillsynsmail/A 28019-2024 tillsynsbegäran mail.docx", "A 28019-2024")</f>
        <v/>
      </c>
    </row>
    <row r="57" ht="15" customHeight="1">
      <c r="A57" t="inlineStr">
        <is>
          <t>A 28041-2024</t>
        </is>
      </c>
      <c r="B57" s="1" t="n">
        <v>45476</v>
      </c>
      <c r="C57" s="1" t="n">
        <v>45812</v>
      </c>
      <c r="D57" t="inlineStr">
        <is>
          <t>KRONOBERGS LÄN</t>
        </is>
      </c>
      <c r="E57" t="inlineStr">
        <is>
          <t>LJUNGBY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HYPERLINK("https://klasma.github.io/Logging_0781/artfynd/A 28041-2024 artfynd.xlsx", "A 28041-2024")</f>
        <v/>
      </c>
      <c r="T57">
        <f>HYPERLINK("https://klasma.github.io/Logging_0781/kartor/A 28041-2024 karta.png", "A 28041-2024")</f>
        <v/>
      </c>
      <c r="V57">
        <f>HYPERLINK("https://klasma.github.io/Logging_0781/klagomål/A 28041-2024 FSC-klagomål.docx", "A 28041-2024")</f>
        <v/>
      </c>
      <c r="W57">
        <f>HYPERLINK("https://klasma.github.io/Logging_0781/klagomålsmail/A 28041-2024 FSC-klagomål mail.docx", "A 28041-2024")</f>
        <v/>
      </c>
      <c r="X57">
        <f>HYPERLINK("https://klasma.github.io/Logging_0781/tillsyn/A 28041-2024 tillsynsbegäran.docx", "A 28041-2024")</f>
        <v/>
      </c>
      <c r="Y57">
        <f>HYPERLINK("https://klasma.github.io/Logging_0781/tillsynsmail/A 28041-2024 tillsynsbegäran mail.docx", "A 28041-2024")</f>
        <v/>
      </c>
    </row>
    <row r="58" ht="15" customHeight="1">
      <c r="A58" t="inlineStr">
        <is>
          <t>A 34935-2024</t>
        </is>
      </c>
      <c r="B58" s="1" t="n">
        <v>45527</v>
      </c>
      <c r="C58" s="1" t="n">
        <v>45812</v>
      </c>
      <c r="D58" t="inlineStr">
        <is>
          <t>KRONOBERGS LÄN</t>
        </is>
      </c>
      <c r="E58" t="inlineStr">
        <is>
          <t>LJUNGBY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Hårginst</t>
        </is>
      </c>
      <c r="S58">
        <f>HYPERLINK("https://klasma.github.io/Logging_0781/artfynd/A 34935-2024 artfynd.xlsx", "A 34935-2024")</f>
        <v/>
      </c>
      <c r="T58">
        <f>HYPERLINK("https://klasma.github.io/Logging_0781/kartor/A 34935-2024 karta.png", "A 34935-2024")</f>
        <v/>
      </c>
      <c r="V58">
        <f>HYPERLINK("https://klasma.github.io/Logging_0781/klagomål/A 34935-2024 FSC-klagomål.docx", "A 34935-2024")</f>
        <v/>
      </c>
      <c r="W58">
        <f>HYPERLINK("https://klasma.github.io/Logging_0781/klagomålsmail/A 34935-2024 FSC-klagomål mail.docx", "A 34935-2024")</f>
        <v/>
      </c>
      <c r="X58">
        <f>HYPERLINK("https://klasma.github.io/Logging_0781/tillsyn/A 34935-2024 tillsynsbegäran.docx", "A 34935-2024")</f>
        <v/>
      </c>
      <c r="Y58">
        <f>HYPERLINK("https://klasma.github.io/Logging_0781/tillsynsmail/A 34935-2024 tillsynsbegäran mail.docx", "A 34935-2024")</f>
        <v/>
      </c>
    </row>
    <row r="59" ht="15" customHeight="1">
      <c r="A59" t="inlineStr">
        <is>
          <t>A 40560-2024</t>
        </is>
      </c>
      <c r="B59" s="1" t="n">
        <v>45555</v>
      </c>
      <c r="C59" s="1" t="n">
        <v>45812</v>
      </c>
      <c r="D59" t="inlineStr">
        <is>
          <t>KRONOBERGS LÄN</t>
        </is>
      </c>
      <c r="E59" t="inlineStr">
        <is>
          <t>LJUNGBY</t>
        </is>
      </c>
      <c r="G59" t="n">
        <v>3.4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HYPERLINK("https://klasma.github.io/Logging_0781/artfynd/A 40560-2024 artfynd.xlsx", "A 40560-2024")</f>
        <v/>
      </c>
      <c r="T59">
        <f>HYPERLINK("https://klasma.github.io/Logging_0781/kartor/A 40560-2024 karta.png", "A 40560-2024")</f>
        <v/>
      </c>
      <c r="V59">
        <f>HYPERLINK("https://klasma.github.io/Logging_0781/klagomål/A 40560-2024 FSC-klagomål.docx", "A 40560-2024")</f>
        <v/>
      </c>
      <c r="W59">
        <f>HYPERLINK("https://klasma.github.io/Logging_0781/klagomålsmail/A 40560-2024 FSC-klagomål mail.docx", "A 40560-2024")</f>
        <v/>
      </c>
      <c r="X59">
        <f>HYPERLINK("https://klasma.github.io/Logging_0781/tillsyn/A 40560-2024 tillsynsbegäran.docx", "A 40560-2024")</f>
        <v/>
      </c>
      <c r="Y59">
        <f>HYPERLINK("https://klasma.github.io/Logging_0781/tillsynsmail/A 40560-2024 tillsynsbegäran mail.docx", "A 40560-2024")</f>
        <v/>
      </c>
      <c r="Z59">
        <f>HYPERLINK("https://klasma.github.io/Logging_0781/fåglar/A 40560-2024 prioriterade fågelarter.docx", "A 40560-2024")</f>
        <v/>
      </c>
    </row>
    <row r="60" ht="15" customHeight="1">
      <c r="A60" t="inlineStr">
        <is>
          <t>A 40911-2024</t>
        </is>
      </c>
      <c r="B60" s="1" t="n">
        <v>45558</v>
      </c>
      <c r="C60" s="1" t="n">
        <v>45812</v>
      </c>
      <c r="D60" t="inlineStr">
        <is>
          <t>KRONOBERGS LÄN</t>
        </is>
      </c>
      <c r="E60" t="inlineStr">
        <is>
          <t>LJUNGBY</t>
        </is>
      </c>
      <c r="F60" t="inlineStr">
        <is>
          <t>Sveaskog</t>
        </is>
      </c>
      <c r="G60" t="n">
        <v>9.1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40911-2024 artfynd.xlsx", "A 40911-2024")</f>
        <v/>
      </c>
      <c r="T60">
        <f>HYPERLINK("https://klasma.github.io/Logging_0781/kartor/A 40911-2024 karta.png", "A 40911-2024")</f>
        <v/>
      </c>
      <c r="V60">
        <f>HYPERLINK("https://klasma.github.io/Logging_0781/klagomål/A 40911-2024 FSC-klagomål.docx", "A 40911-2024")</f>
        <v/>
      </c>
      <c r="W60">
        <f>HYPERLINK("https://klasma.github.io/Logging_0781/klagomålsmail/A 40911-2024 FSC-klagomål mail.docx", "A 40911-2024")</f>
        <v/>
      </c>
      <c r="X60">
        <f>HYPERLINK("https://klasma.github.io/Logging_0781/tillsyn/A 40911-2024 tillsynsbegäran.docx", "A 40911-2024")</f>
        <v/>
      </c>
      <c r="Y60">
        <f>HYPERLINK("https://klasma.github.io/Logging_0781/tillsynsmail/A 40911-2024 tillsynsbegäran mail.docx", "A 40911-2024")</f>
        <v/>
      </c>
    </row>
    <row r="61" ht="15" customHeight="1">
      <c r="A61" t="inlineStr">
        <is>
          <t>A 43653-2024</t>
        </is>
      </c>
      <c r="B61" s="1" t="n">
        <v>45569</v>
      </c>
      <c r="C61" s="1" t="n">
        <v>45812</v>
      </c>
      <c r="D61" t="inlineStr">
        <is>
          <t>KRONOBERGS LÄN</t>
        </is>
      </c>
      <c r="E61" t="inlineStr">
        <is>
          <t>LJUNGBY</t>
        </is>
      </c>
      <c r="G61" t="n">
        <v>11.6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HYPERLINK("https://klasma.github.io/Logging_0781/artfynd/A 43653-2024 artfynd.xlsx", "A 43653-2024")</f>
        <v/>
      </c>
      <c r="T61">
        <f>HYPERLINK("https://klasma.github.io/Logging_0781/kartor/A 43653-2024 karta.png", "A 43653-2024")</f>
        <v/>
      </c>
      <c r="V61">
        <f>HYPERLINK("https://klasma.github.io/Logging_0781/klagomål/A 43653-2024 FSC-klagomål.docx", "A 43653-2024")</f>
        <v/>
      </c>
      <c r="W61">
        <f>HYPERLINK("https://klasma.github.io/Logging_0781/klagomålsmail/A 43653-2024 FSC-klagomål mail.docx", "A 43653-2024")</f>
        <v/>
      </c>
      <c r="X61">
        <f>HYPERLINK("https://klasma.github.io/Logging_0781/tillsyn/A 43653-2024 tillsynsbegäran.docx", "A 43653-2024")</f>
        <v/>
      </c>
      <c r="Y61">
        <f>HYPERLINK("https://klasma.github.io/Logging_0781/tillsynsmail/A 43653-2024 tillsynsbegäran mail.docx", "A 43653-2024")</f>
        <v/>
      </c>
    </row>
    <row r="62" ht="15" customHeight="1">
      <c r="A62" t="inlineStr">
        <is>
          <t>A 57204-2024</t>
        </is>
      </c>
      <c r="B62" s="1" t="n">
        <v>45629</v>
      </c>
      <c r="C62" s="1" t="n">
        <v>45812</v>
      </c>
      <c r="D62" t="inlineStr">
        <is>
          <t>KRONOBERGS LÄN</t>
        </is>
      </c>
      <c r="E62" t="inlineStr">
        <is>
          <t>LJUNGBY</t>
        </is>
      </c>
      <c r="G62" t="n">
        <v>23.5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HYPERLINK("https://klasma.github.io/Logging_0781/artfynd/A 57204-2024 artfynd.xlsx", "A 57204-2024")</f>
        <v/>
      </c>
      <c r="T62">
        <f>HYPERLINK("https://klasma.github.io/Logging_0781/kartor/A 57204-2024 karta.png", "A 57204-2024")</f>
        <v/>
      </c>
      <c r="U62">
        <f>HYPERLINK("https://klasma.github.io/Logging_0781/knärot/A 57204-2024 karta knärot.png", "A 57204-2024")</f>
        <v/>
      </c>
      <c r="V62">
        <f>HYPERLINK("https://klasma.github.io/Logging_0781/klagomål/A 57204-2024 FSC-klagomål.docx", "A 57204-2024")</f>
        <v/>
      </c>
      <c r="W62">
        <f>HYPERLINK("https://klasma.github.io/Logging_0781/klagomålsmail/A 57204-2024 FSC-klagomål mail.docx", "A 57204-2024")</f>
        <v/>
      </c>
      <c r="X62">
        <f>HYPERLINK("https://klasma.github.io/Logging_0781/tillsyn/A 57204-2024 tillsynsbegäran.docx", "A 57204-2024")</f>
        <v/>
      </c>
      <c r="Y62">
        <f>HYPERLINK("https://klasma.github.io/Logging_0781/tillsynsmail/A 57204-2024 tillsynsbegäran mail.docx", "A 57204-2024")</f>
        <v/>
      </c>
    </row>
    <row r="63" ht="15" customHeight="1">
      <c r="A63" t="inlineStr">
        <is>
          <t>A 60139-2024</t>
        </is>
      </c>
      <c r="B63" s="1" t="n">
        <v>45642</v>
      </c>
      <c r="C63" s="1" t="n">
        <v>45812</v>
      </c>
      <c r="D63" t="inlineStr">
        <is>
          <t>KRONOBERGS LÄN</t>
        </is>
      </c>
      <c r="E63" t="inlineStr">
        <is>
          <t>LJUNGBY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HYPERLINK("https://klasma.github.io/Logging_0781/artfynd/A 60139-2024 artfynd.xlsx", "A 60139-2024")</f>
        <v/>
      </c>
      <c r="T63">
        <f>HYPERLINK("https://klasma.github.io/Logging_0781/kartor/A 60139-2024 karta.png", "A 60139-2024")</f>
        <v/>
      </c>
      <c r="V63">
        <f>HYPERLINK("https://klasma.github.io/Logging_0781/klagomål/A 60139-2024 FSC-klagomål.docx", "A 60139-2024")</f>
        <v/>
      </c>
      <c r="W63">
        <f>HYPERLINK("https://klasma.github.io/Logging_0781/klagomålsmail/A 60139-2024 FSC-klagomål mail.docx", "A 60139-2024")</f>
        <v/>
      </c>
      <c r="X63">
        <f>HYPERLINK("https://klasma.github.io/Logging_0781/tillsyn/A 60139-2024 tillsynsbegäran.docx", "A 60139-2024")</f>
        <v/>
      </c>
      <c r="Y63">
        <f>HYPERLINK("https://klasma.github.io/Logging_0781/tillsynsmail/A 60139-2024 tillsynsbegäran mail.docx", "A 60139-2024")</f>
        <v/>
      </c>
    </row>
    <row r="64" ht="15" customHeight="1">
      <c r="A64" t="inlineStr">
        <is>
          <t>A 4451-2025</t>
        </is>
      </c>
      <c r="B64" s="1" t="n">
        <v>45686</v>
      </c>
      <c r="C64" s="1" t="n">
        <v>45812</v>
      </c>
      <c r="D64" t="inlineStr">
        <is>
          <t>KRONOBERGS LÄN</t>
        </is>
      </c>
      <c r="E64" t="inlineStr">
        <is>
          <t>LJUNGBY</t>
        </is>
      </c>
      <c r="G64" t="n">
        <v>2.5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Duvhök</t>
        </is>
      </c>
      <c r="S64">
        <f>HYPERLINK("https://klasma.github.io/Logging_0781/artfynd/A 4451-2025 artfynd.xlsx", "A 4451-2025")</f>
        <v/>
      </c>
      <c r="T64">
        <f>HYPERLINK("https://klasma.github.io/Logging_0781/kartor/A 4451-2025 karta.png", "A 4451-2025")</f>
        <v/>
      </c>
      <c r="V64">
        <f>HYPERLINK("https://klasma.github.io/Logging_0781/klagomål/A 4451-2025 FSC-klagomål.docx", "A 4451-2025")</f>
        <v/>
      </c>
      <c r="W64">
        <f>HYPERLINK("https://klasma.github.io/Logging_0781/klagomålsmail/A 4451-2025 FSC-klagomål mail.docx", "A 4451-2025")</f>
        <v/>
      </c>
      <c r="X64">
        <f>HYPERLINK("https://klasma.github.io/Logging_0781/tillsyn/A 4451-2025 tillsynsbegäran.docx", "A 4451-2025")</f>
        <v/>
      </c>
      <c r="Y64">
        <f>HYPERLINK("https://klasma.github.io/Logging_0781/tillsynsmail/A 4451-2025 tillsynsbegäran mail.docx", "A 4451-2025")</f>
        <v/>
      </c>
      <c r="Z64">
        <f>HYPERLINK("https://klasma.github.io/Logging_0781/fåglar/A 4451-2025 prioriterade fågelarter.docx", "A 4451-2025")</f>
        <v/>
      </c>
    </row>
    <row r="65" ht="15" customHeight="1">
      <c r="A65" t="inlineStr">
        <is>
          <t>A 15922-2025</t>
        </is>
      </c>
      <c r="B65" s="1" t="n">
        <v>45749</v>
      </c>
      <c r="C65" s="1" t="n">
        <v>45812</v>
      </c>
      <c r="D65" t="inlineStr">
        <is>
          <t>KRONOBERGS LÄN</t>
        </is>
      </c>
      <c r="E65" t="inlineStr">
        <is>
          <t>LJUNGBY</t>
        </is>
      </c>
      <c r="G65" t="n">
        <v>4.4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HYPERLINK("https://klasma.github.io/Logging_070781/artfynd/A 15922-2025 artfynd.xlsx", "A 15922-2025")</f>
        <v/>
      </c>
      <c r="T65">
        <f>HYPERLINK("https://klasma.github.io/Logging_070781/kartor/A 15922-2025 karta.png", "A 15922-2025")</f>
        <v/>
      </c>
      <c r="V65">
        <f>HYPERLINK("https://klasma.github.io/Logging_070781/klagomål/A 15922-2025 FSC-klagomål.docx", "A 15922-2025")</f>
        <v/>
      </c>
      <c r="W65">
        <f>HYPERLINK("https://klasma.github.io/Logging_070781/klagomålsmail/A 15922-2025 FSC-klagomål mail.docx", "A 15922-2025")</f>
        <v/>
      </c>
      <c r="X65">
        <f>HYPERLINK("https://klasma.github.io/Logging_070781/tillsyn/A 15922-2025 tillsynsbegäran.docx", "A 15922-2025")</f>
        <v/>
      </c>
      <c r="Y65">
        <f>HYPERLINK("https://klasma.github.io/Logging_070781/tillsynsmail/A 15922-2025 tillsynsbegäran mail.docx", "A 15922-2025")</f>
        <v/>
      </c>
      <c r="Z65">
        <f>HYPERLINK("https://klasma.github.io/Logging_070781/fåglar/A 15922-2025 prioriterade fågelarter.docx", "A 15922-2025")</f>
        <v/>
      </c>
    </row>
    <row r="66" ht="15" customHeight="1">
      <c r="A66" t="inlineStr">
        <is>
          <t>A 16749-2025</t>
        </is>
      </c>
      <c r="B66" s="1" t="n">
        <v>45754</v>
      </c>
      <c r="C66" s="1" t="n">
        <v>45812</v>
      </c>
      <c r="D66" t="inlineStr">
        <is>
          <t>KRONOBERGS LÄN</t>
        </is>
      </c>
      <c r="E66" t="inlineStr">
        <is>
          <t>LJUNGBY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HYPERLINK("https://klasma.github.io/Logging_070781/artfynd/A 16749-2025 artfynd.xlsx", "A 16749-2025")</f>
        <v/>
      </c>
      <c r="T66">
        <f>HYPERLINK("https://klasma.github.io/Logging_070781/kartor/A 16749-2025 karta.png", "A 16749-2025")</f>
        <v/>
      </c>
      <c r="V66">
        <f>HYPERLINK("https://klasma.github.io/Logging_070781/klagomål/A 16749-2025 FSC-klagomål.docx", "A 16749-2025")</f>
        <v/>
      </c>
      <c r="W66">
        <f>HYPERLINK("https://klasma.github.io/Logging_070781/klagomålsmail/A 16749-2025 FSC-klagomål mail.docx", "A 16749-2025")</f>
        <v/>
      </c>
      <c r="X66">
        <f>HYPERLINK("https://klasma.github.io/Logging_070781/tillsyn/A 16749-2025 tillsynsbegäran.docx", "A 16749-2025")</f>
        <v/>
      </c>
      <c r="Y66">
        <f>HYPERLINK("https://klasma.github.io/Logging_070781/tillsynsmail/A 16749-2025 tillsynsbegäran mail.docx", "A 16749-2025")</f>
        <v/>
      </c>
      <c r="Z66">
        <f>HYPERLINK("https://klasma.github.io/Logging_070781/fåglar/A 16749-2025 prioriterade fågelarter.docx", "A 16749-2025")</f>
        <v/>
      </c>
    </row>
    <row r="67" ht="15" customHeight="1">
      <c r="A67" t="inlineStr">
        <is>
          <t>A 17709-2019</t>
        </is>
      </c>
      <c r="B67" s="1" t="n">
        <v>43556</v>
      </c>
      <c r="C67" s="1" t="n">
        <v>45812</v>
      </c>
      <c r="D67" t="inlineStr">
        <is>
          <t>KRONOBERGS LÄN</t>
        </is>
      </c>
      <c r="E67" t="inlineStr">
        <is>
          <t>LJUNGBY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18025-2019</t>
        </is>
      </c>
      <c r="B68" s="1" t="n">
        <v>43557</v>
      </c>
      <c r="C68" s="1" t="n">
        <v>45812</v>
      </c>
      <c r="D68" t="inlineStr">
        <is>
          <t>KRONOBERGS LÄN</t>
        </is>
      </c>
      <c r="E68" t="inlineStr">
        <is>
          <t>LJUNGBY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18084-2019</t>
        </is>
      </c>
      <c r="B69" s="1" t="n">
        <v>43558</v>
      </c>
      <c r="C69" s="1" t="n">
        <v>45812</v>
      </c>
      <c r="D69" t="inlineStr">
        <is>
          <t>KRONOBERGS LÄN</t>
        </is>
      </c>
      <c r="E69" t="inlineStr">
        <is>
          <t>LJUNGBY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18089-2019</t>
        </is>
      </c>
      <c r="B70" s="1" t="n">
        <v>43558</v>
      </c>
      <c r="C70" s="1" t="n">
        <v>45812</v>
      </c>
      <c r="D70" t="inlineStr">
        <is>
          <t>KRONOBERGS LÄN</t>
        </is>
      </c>
      <c r="E70" t="inlineStr">
        <is>
          <t>LJUNGBY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18634-2019</t>
        </is>
      </c>
      <c r="B71" s="1" t="n">
        <v>43560</v>
      </c>
      <c r="C71" s="1" t="n">
        <v>45812</v>
      </c>
      <c r="D71" t="inlineStr">
        <is>
          <t>KRONOBERGS LÄN</t>
        </is>
      </c>
      <c r="E71" t="inlineStr">
        <is>
          <t>LJUNGBY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19376-2019</t>
        </is>
      </c>
      <c r="B72" s="1" t="n">
        <v>43565</v>
      </c>
      <c r="C72" s="1" t="n">
        <v>45812</v>
      </c>
      <c r="D72" t="inlineStr">
        <is>
          <t>KRONOBERGS LÄN</t>
        </is>
      </c>
      <c r="E72" t="inlineStr">
        <is>
          <t>LJUNGBY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19590-2019</t>
        </is>
      </c>
      <c r="B73" s="1" t="n">
        <v>43566</v>
      </c>
      <c r="C73" s="1" t="n">
        <v>45812</v>
      </c>
      <c r="D73" t="inlineStr">
        <is>
          <t>KRONOBERGS LÄN</t>
        </is>
      </c>
      <c r="E73" t="inlineStr">
        <is>
          <t>LJUNGBY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19586-2019</t>
        </is>
      </c>
      <c r="B74" s="1" t="n">
        <v>43566</v>
      </c>
      <c r="C74" s="1" t="n">
        <v>45812</v>
      </c>
      <c r="D74" t="inlineStr">
        <is>
          <t>KRONOBERGS LÄN</t>
        </is>
      </c>
      <c r="E74" t="inlineStr">
        <is>
          <t>LJUNGBY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20123-2019</t>
        </is>
      </c>
      <c r="B75" s="1" t="n">
        <v>43570</v>
      </c>
      <c r="C75" s="1" t="n">
        <v>45812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20212-2019</t>
        </is>
      </c>
      <c r="B76" s="1" t="n">
        <v>43571</v>
      </c>
      <c r="C76" s="1" t="n">
        <v>45812</v>
      </c>
      <c r="D76" t="inlineStr">
        <is>
          <t>KRONOBERGS LÄN</t>
        </is>
      </c>
      <c r="E76" t="inlineStr">
        <is>
          <t>LJUNGBY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20542-2019</t>
        </is>
      </c>
      <c r="B77" s="1" t="n">
        <v>43572</v>
      </c>
      <c r="C77" s="1" t="n">
        <v>45812</v>
      </c>
      <c r="D77" t="inlineStr">
        <is>
          <t>KRONOBERGS LÄN</t>
        </is>
      </c>
      <c r="E77" t="inlineStr">
        <is>
          <t>LJUNGBY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20543-2019</t>
        </is>
      </c>
      <c r="B78" s="1" t="n">
        <v>43572</v>
      </c>
      <c r="C78" s="1" t="n">
        <v>45812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20545-2019</t>
        </is>
      </c>
      <c r="B79" s="1" t="n">
        <v>43572</v>
      </c>
      <c r="C79" s="1" t="n">
        <v>45812</v>
      </c>
      <c r="D79" t="inlineStr">
        <is>
          <t>KRONOBERGS LÄN</t>
        </is>
      </c>
      <c r="E79" t="inlineStr">
        <is>
          <t>LJUNGBY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20658-2019</t>
        </is>
      </c>
      <c r="B80" s="1" t="n">
        <v>43573</v>
      </c>
      <c r="C80" s="1" t="n">
        <v>45812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21317-2019</t>
        </is>
      </c>
      <c r="B81" s="1" t="n">
        <v>43579</v>
      </c>
      <c r="C81" s="1" t="n">
        <v>45812</v>
      </c>
      <c r="D81" t="inlineStr">
        <is>
          <t>KRONOBERGS LÄN</t>
        </is>
      </c>
      <c r="E81" t="inlineStr">
        <is>
          <t>LJUNGBY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21313-2019</t>
        </is>
      </c>
      <c r="B82" s="1" t="n">
        <v>43579</v>
      </c>
      <c r="C82" s="1" t="n">
        <v>45812</v>
      </c>
      <c r="D82" t="inlineStr">
        <is>
          <t>KRONOBERGS LÄN</t>
        </is>
      </c>
      <c r="E82" t="inlineStr">
        <is>
          <t>LJUNGBY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21314-2019</t>
        </is>
      </c>
      <c r="B83" s="1" t="n">
        <v>43579</v>
      </c>
      <c r="C83" s="1" t="n">
        <v>45812</v>
      </c>
      <c r="D83" t="inlineStr">
        <is>
          <t>KRONOBERGS LÄN</t>
        </is>
      </c>
      <c r="E83" t="inlineStr">
        <is>
          <t>LJUNGBY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22677-2019</t>
        </is>
      </c>
      <c r="B84" s="1" t="n">
        <v>43588</v>
      </c>
      <c r="C84" s="1" t="n">
        <v>45812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22731-2019</t>
        </is>
      </c>
      <c r="B85" s="1" t="n">
        <v>43588</v>
      </c>
      <c r="C85" s="1" t="n">
        <v>45812</v>
      </c>
      <c r="D85" t="inlineStr">
        <is>
          <t>KRONOBERGS LÄN</t>
        </is>
      </c>
      <c r="E85" t="inlineStr">
        <is>
          <t>LJUNGBY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23427-2019</t>
        </is>
      </c>
      <c r="B86" s="1" t="n">
        <v>43592</v>
      </c>
      <c r="C86" s="1" t="n">
        <v>45812</v>
      </c>
      <c r="D86" t="inlineStr">
        <is>
          <t>KRONOBERGS LÄN</t>
        </is>
      </c>
      <c r="E86" t="inlineStr">
        <is>
          <t>LJUNGBY</t>
        </is>
      </c>
      <c r="F86" t="inlineStr">
        <is>
          <t>Sveaskog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24310-2019</t>
        </is>
      </c>
      <c r="B87" s="1" t="n">
        <v>43599</v>
      </c>
      <c r="C87" s="1" t="n">
        <v>45812</v>
      </c>
      <c r="D87" t="inlineStr">
        <is>
          <t>KRONOBERGS LÄN</t>
        </is>
      </c>
      <c r="E87" t="inlineStr">
        <is>
          <t>LJUNGBY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24546-2019</t>
        </is>
      </c>
      <c r="B88" s="1" t="n">
        <v>43600</v>
      </c>
      <c r="C88" s="1" t="n">
        <v>45812</v>
      </c>
      <c r="D88" t="inlineStr">
        <is>
          <t>KRONOBERGS LÄN</t>
        </is>
      </c>
      <c r="E88" t="inlineStr">
        <is>
          <t>LJUNGBY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25388-2019</t>
        </is>
      </c>
      <c r="B89" s="1" t="n">
        <v>43606</v>
      </c>
      <c r="C89" s="1" t="n">
        <v>45812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25383-2019</t>
        </is>
      </c>
      <c r="B90" s="1" t="n">
        <v>43606</v>
      </c>
      <c r="C90" s="1" t="n">
        <v>45812</v>
      </c>
      <c r="D90" t="inlineStr">
        <is>
          <t>KRONOBERGS LÄN</t>
        </is>
      </c>
      <c r="E90" t="inlineStr">
        <is>
          <t>LJUNGBY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26152-2019</t>
        </is>
      </c>
      <c r="B91" s="1" t="n">
        <v>43609</v>
      </c>
      <c r="C91" s="1" t="n">
        <v>45812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28022-2019</t>
        </is>
      </c>
      <c r="B92" s="1" t="n">
        <v>43613</v>
      </c>
      <c r="C92" s="1" t="n">
        <v>45812</v>
      </c>
      <c r="D92" t="inlineStr">
        <is>
          <t>KRONOBERGS LÄN</t>
        </is>
      </c>
      <c r="E92" t="inlineStr">
        <is>
          <t>LJUNGBY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27380-2019</t>
        </is>
      </c>
      <c r="B93" s="1" t="n">
        <v>43616</v>
      </c>
      <c r="C93" s="1" t="n">
        <v>45812</v>
      </c>
      <c r="D93" t="inlineStr">
        <is>
          <t>KRONOBERGS LÄN</t>
        </is>
      </c>
      <c r="E93" t="inlineStr">
        <is>
          <t>LJUNGBY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28833-2019</t>
        </is>
      </c>
      <c r="B94" s="1" t="n">
        <v>43627</v>
      </c>
      <c r="C94" s="1" t="n">
        <v>45812</v>
      </c>
      <c r="D94" t="inlineStr">
        <is>
          <t>KRONOBERGS LÄN</t>
        </is>
      </c>
      <c r="E94" t="inlineStr">
        <is>
          <t>LJUNGBY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28835-2019</t>
        </is>
      </c>
      <c r="B95" s="1" t="n">
        <v>43627</v>
      </c>
      <c r="C95" s="1" t="n">
        <v>45812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28837-2019</t>
        </is>
      </c>
      <c r="B96" s="1" t="n">
        <v>43627</v>
      </c>
      <c r="C96" s="1" t="n">
        <v>45812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28836-2019</t>
        </is>
      </c>
      <c r="B97" s="1" t="n">
        <v>43627</v>
      </c>
      <c r="C97" s="1" t="n">
        <v>45812</v>
      </c>
      <c r="D97" t="inlineStr">
        <is>
          <t>KRONOBERGS LÄN</t>
        </is>
      </c>
      <c r="E97" t="inlineStr">
        <is>
          <t>LJUNGBY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29798-2019</t>
        </is>
      </c>
      <c r="B98" s="1" t="n">
        <v>43633</v>
      </c>
      <c r="C98" s="1" t="n">
        <v>45812</v>
      </c>
      <c r="D98" t="inlineStr">
        <is>
          <t>KRONOBERGS LÄN</t>
        </is>
      </c>
      <c r="E98" t="inlineStr">
        <is>
          <t>LJUNGBY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29797-2019</t>
        </is>
      </c>
      <c r="B99" s="1" t="n">
        <v>43633</v>
      </c>
      <c r="C99" s="1" t="n">
        <v>45812</v>
      </c>
      <c r="D99" t="inlineStr">
        <is>
          <t>KRONOBERGS LÄN</t>
        </is>
      </c>
      <c r="E99" t="inlineStr">
        <is>
          <t>LJUNGBY</t>
        </is>
      </c>
      <c r="G99" t="n">
        <v>10.5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30388-2019</t>
        </is>
      </c>
      <c r="B100" s="1" t="n">
        <v>43633</v>
      </c>
      <c r="C100" s="1" t="n">
        <v>45812</v>
      </c>
      <c r="D100" t="inlineStr">
        <is>
          <t>KRONOBERGS LÄN</t>
        </is>
      </c>
      <c r="E100" t="inlineStr">
        <is>
          <t>LJUNGBY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30984-2019</t>
        </is>
      </c>
      <c r="B101" s="1" t="n">
        <v>43640</v>
      </c>
      <c r="C101" s="1" t="n">
        <v>45812</v>
      </c>
      <c r="D101" t="inlineStr">
        <is>
          <t>KRONOBERGS LÄN</t>
        </is>
      </c>
      <c r="E101" t="inlineStr">
        <is>
          <t>LJUNGBY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32967-2019</t>
        </is>
      </c>
      <c r="B102" s="1" t="n">
        <v>43648</v>
      </c>
      <c r="C102" s="1" t="n">
        <v>45812</v>
      </c>
      <c r="D102" t="inlineStr">
        <is>
          <t>KRONOBERGS LÄN</t>
        </is>
      </c>
      <c r="E102" t="inlineStr">
        <is>
          <t>LJUNGBY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32893-2019</t>
        </is>
      </c>
      <c r="B103" s="1" t="n">
        <v>43648</v>
      </c>
      <c r="C103" s="1" t="n">
        <v>45812</v>
      </c>
      <c r="D103" t="inlineStr">
        <is>
          <t>KRONOBERGS LÄN</t>
        </is>
      </c>
      <c r="E103" t="inlineStr">
        <is>
          <t>LJUNGBY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32943-2019</t>
        </is>
      </c>
      <c r="B104" s="1" t="n">
        <v>43648</v>
      </c>
      <c r="C104" s="1" t="n">
        <v>45812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33754-2019</t>
        </is>
      </c>
      <c r="B105" s="1" t="n">
        <v>43651</v>
      </c>
      <c r="C105" s="1" t="n">
        <v>45812</v>
      </c>
      <c r="D105" t="inlineStr">
        <is>
          <t>KRONOBERGS LÄN</t>
        </is>
      </c>
      <c r="E105" t="inlineStr">
        <is>
          <t>LJUNGBY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34355-2019</t>
        </is>
      </c>
      <c r="B106" s="1" t="n">
        <v>43656</v>
      </c>
      <c r="C106" s="1" t="n">
        <v>45812</v>
      </c>
      <c r="D106" t="inlineStr">
        <is>
          <t>KRONOBERGS LÄN</t>
        </is>
      </c>
      <c r="E106" t="inlineStr">
        <is>
          <t>LJUNGBY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34358-2019</t>
        </is>
      </c>
      <c r="B107" s="1" t="n">
        <v>43656</v>
      </c>
      <c r="C107" s="1" t="n">
        <v>45812</v>
      </c>
      <c r="D107" t="inlineStr">
        <is>
          <t>KRONOBERGS LÄN</t>
        </is>
      </c>
      <c r="E107" t="inlineStr">
        <is>
          <t>LJUNGBY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35162-2019</t>
        </is>
      </c>
      <c r="B108" s="1" t="n">
        <v>43661</v>
      </c>
      <c r="C108" s="1" t="n">
        <v>45812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36005-2019</t>
        </is>
      </c>
      <c r="B109" s="1" t="n">
        <v>43668</v>
      </c>
      <c r="C109" s="1" t="n">
        <v>45812</v>
      </c>
      <c r="D109" t="inlineStr">
        <is>
          <t>KRONOBERGS LÄN</t>
        </is>
      </c>
      <c r="E109" t="inlineStr">
        <is>
          <t>LJUNGBY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36228-2019</t>
        </is>
      </c>
      <c r="B110" s="1" t="n">
        <v>43669</v>
      </c>
      <c r="C110" s="1" t="n">
        <v>45812</v>
      </c>
      <c r="D110" t="inlineStr">
        <is>
          <t>KRONOBERGS LÄN</t>
        </is>
      </c>
      <c r="E110" t="inlineStr">
        <is>
          <t>LJUNGBY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37095-2019</t>
        </is>
      </c>
      <c r="B111" s="1" t="n">
        <v>43676</v>
      </c>
      <c r="C111" s="1" t="n">
        <v>45812</v>
      </c>
      <c r="D111" t="inlineStr">
        <is>
          <t>KRONOBERGS LÄN</t>
        </is>
      </c>
      <c r="E111" t="inlineStr">
        <is>
          <t>LJUNGBY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37109-2019</t>
        </is>
      </c>
      <c r="B112" s="1" t="n">
        <v>43676</v>
      </c>
      <c r="C112" s="1" t="n">
        <v>45812</v>
      </c>
      <c r="D112" t="inlineStr">
        <is>
          <t>KRONOBERGS LÄN</t>
        </is>
      </c>
      <c r="E112" t="inlineStr">
        <is>
          <t>LJUNGBY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37107-2019</t>
        </is>
      </c>
      <c r="B113" s="1" t="n">
        <v>43676</v>
      </c>
      <c r="C113" s="1" t="n">
        <v>45812</v>
      </c>
      <c r="D113" t="inlineStr">
        <is>
          <t>KRONOBERGS LÄN</t>
        </is>
      </c>
      <c r="E113" t="inlineStr">
        <is>
          <t>LJUNGBY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37919-2019</t>
        </is>
      </c>
      <c r="B114" s="1" t="n">
        <v>43683</v>
      </c>
      <c r="C114" s="1" t="n">
        <v>45812</v>
      </c>
      <c r="D114" t="inlineStr">
        <is>
          <t>KRONOBERGS LÄN</t>
        </is>
      </c>
      <c r="E114" t="inlineStr">
        <is>
          <t>LJUNGBY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37998-2019</t>
        </is>
      </c>
      <c r="B115" s="1" t="n">
        <v>43683</v>
      </c>
      <c r="C115" s="1" t="n">
        <v>45812</v>
      </c>
      <c r="D115" t="inlineStr">
        <is>
          <t>KRONOBERGS LÄN</t>
        </is>
      </c>
      <c r="E115" t="inlineStr">
        <is>
          <t>LJUNGBY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38060-2019</t>
        </is>
      </c>
      <c r="B116" s="1" t="n">
        <v>43683</v>
      </c>
      <c r="C116" s="1" t="n">
        <v>45812</v>
      </c>
      <c r="D116" t="inlineStr">
        <is>
          <t>KRONOBERGS LÄN</t>
        </is>
      </c>
      <c r="E116" t="inlineStr">
        <is>
          <t>LJUNGBY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38045-2019</t>
        </is>
      </c>
      <c r="B117" s="1" t="n">
        <v>43683</v>
      </c>
      <c r="C117" s="1" t="n">
        <v>45812</v>
      </c>
      <c r="D117" t="inlineStr">
        <is>
          <t>KRONOBERGS LÄN</t>
        </is>
      </c>
      <c r="E117" t="inlineStr">
        <is>
          <t>LJUNGBY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38070-2019</t>
        </is>
      </c>
      <c r="B118" s="1" t="n">
        <v>43683</v>
      </c>
      <c r="C118" s="1" t="n">
        <v>45812</v>
      </c>
      <c r="D118" t="inlineStr">
        <is>
          <t>KRONOBERGS LÄN</t>
        </is>
      </c>
      <c r="E118" t="inlineStr">
        <is>
          <t>LJUNGBY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37923-2019</t>
        </is>
      </c>
      <c r="B119" s="1" t="n">
        <v>43683</v>
      </c>
      <c r="C119" s="1" t="n">
        <v>45812</v>
      </c>
      <c r="D119" t="inlineStr">
        <is>
          <t>KRONOBERGS LÄN</t>
        </is>
      </c>
      <c r="E119" t="inlineStr">
        <is>
          <t>LJUNGBY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38037-2019</t>
        </is>
      </c>
      <c r="B120" s="1" t="n">
        <v>43683</v>
      </c>
      <c r="C120" s="1" t="n">
        <v>45812</v>
      </c>
      <c r="D120" t="inlineStr">
        <is>
          <t>KRONOBERGS LÄN</t>
        </is>
      </c>
      <c r="E120" t="inlineStr">
        <is>
          <t>LJUNGBY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38733-2019</t>
        </is>
      </c>
      <c r="B121" s="1" t="n">
        <v>43686</v>
      </c>
      <c r="C121" s="1" t="n">
        <v>45812</v>
      </c>
      <c r="D121" t="inlineStr">
        <is>
          <t>KRONOBERGS LÄN</t>
        </is>
      </c>
      <c r="E121" t="inlineStr">
        <is>
          <t>LJUNGBY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38698-2019</t>
        </is>
      </c>
      <c r="B122" s="1" t="n">
        <v>43686</v>
      </c>
      <c r="C122" s="1" t="n">
        <v>45812</v>
      </c>
      <c r="D122" t="inlineStr">
        <is>
          <t>KRONOBERGS LÄN</t>
        </is>
      </c>
      <c r="E122" t="inlineStr">
        <is>
          <t>LJUNGBY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38850-2019</t>
        </is>
      </c>
      <c r="B123" s="1" t="n">
        <v>43689</v>
      </c>
      <c r="C123" s="1" t="n">
        <v>45812</v>
      </c>
      <c r="D123" t="inlineStr">
        <is>
          <t>KRONOBERGS LÄN</t>
        </is>
      </c>
      <c r="E123" t="inlineStr">
        <is>
          <t>LJUNGBY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39546-2019</t>
        </is>
      </c>
      <c r="B124" s="1" t="n">
        <v>43691</v>
      </c>
      <c r="C124" s="1" t="n">
        <v>45812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40121-2019</t>
        </is>
      </c>
      <c r="B125" s="1" t="n">
        <v>43693</v>
      </c>
      <c r="C125" s="1" t="n">
        <v>45812</v>
      </c>
      <c r="D125" t="inlineStr">
        <is>
          <t>KRONOBERGS LÄN</t>
        </is>
      </c>
      <c r="E125" t="inlineStr">
        <is>
          <t>LJUNGBY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41297-2019</t>
        </is>
      </c>
      <c r="B126" s="1" t="n">
        <v>43698</v>
      </c>
      <c r="C126" s="1" t="n">
        <v>45812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41327-2019</t>
        </is>
      </c>
      <c r="B127" s="1" t="n">
        <v>43698</v>
      </c>
      <c r="C127" s="1" t="n">
        <v>45812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41343-2019</t>
        </is>
      </c>
      <c r="B128" s="1" t="n">
        <v>43698</v>
      </c>
      <c r="C128" s="1" t="n">
        <v>45812</v>
      </c>
      <c r="D128" t="inlineStr">
        <is>
          <t>KRONOBERGS LÄN</t>
        </is>
      </c>
      <c r="E128" t="inlineStr">
        <is>
          <t>LJUNGBY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41311-2019</t>
        </is>
      </c>
      <c r="B129" s="1" t="n">
        <v>43698</v>
      </c>
      <c r="C129" s="1" t="n">
        <v>45812</v>
      </c>
      <c r="D129" t="inlineStr">
        <is>
          <t>KRONOBERGS LÄN</t>
        </is>
      </c>
      <c r="E129" t="inlineStr">
        <is>
          <t>LJUNGBY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41316-2019</t>
        </is>
      </c>
      <c r="B130" s="1" t="n">
        <v>43698</v>
      </c>
      <c r="C130" s="1" t="n">
        <v>45812</v>
      </c>
      <c r="D130" t="inlineStr">
        <is>
          <t>KRONOBERGS LÄN</t>
        </is>
      </c>
      <c r="E130" t="inlineStr">
        <is>
          <t>LJUNGBY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41536-2019</t>
        </is>
      </c>
      <c r="B131" s="1" t="n">
        <v>43699</v>
      </c>
      <c r="C131" s="1" t="n">
        <v>45812</v>
      </c>
      <c r="D131" t="inlineStr">
        <is>
          <t>KRONOBERGS LÄN</t>
        </is>
      </c>
      <c r="E131" t="inlineStr">
        <is>
          <t>LJUNGBY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41533-2019</t>
        </is>
      </c>
      <c r="B132" s="1" t="n">
        <v>43699</v>
      </c>
      <c r="C132" s="1" t="n">
        <v>45812</v>
      </c>
      <c r="D132" t="inlineStr">
        <is>
          <t>KRONOBERGS LÄN</t>
        </is>
      </c>
      <c r="E132" t="inlineStr">
        <is>
          <t>LJUNGBY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42452-2019</t>
        </is>
      </c>
      <c r="B133" s="1" t="n">
        <v>43704</v>
      </c>
      <c r="C133" s="1" t="n">
        <v>45812</v>
      </c>
      <c r="D133" t="inlineStr">
        <is>
          <t>KRONOBERGS LÄN</t>
        </is>
      </c>
      <c r="E133" t="inlineStr">
        <is>
          <t>LJUNGBY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42700-2019</t>
        </is>
      </c>
      <c r="B134" s="1" t="n">
        <v>43704</v>
      </c>
      <c r="C134" s="1" t="n">
        <v>45812</v>
      </c>
      <c r="D134" t="inlineStr">
        <is>
          <t>KRONOBERGS LÄN</t>
        </is>
      </c>
      <c r="E134" t="inlineStr">
        <is>
          <t>LJUNGBY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43147-2019</t>
        </is>
      </c>
      <c r="B135" s="1" t="n">
        <v>43705</v>
      </c>
      <c r="C135" s="1" t="n">
        <v>45812</v>
      </c>
      <c r="D135" t="inlineStr">
        <is>
          <t>KRONOBERGS LÄN</t>
        </is>
      </c>
      <c r="E135" t="inlineStr">
        <is>
          <t>LJUNGBY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43282-2019</t>
        </is>
      </c>
      <c r="B136" s="1" t="n">
        <v>43706</v>
      </c>
      <c r="C136" s="1" t="n">
        <v>45812</v>
      </c>
      <c r="D136" t="inlineStr">
        <is>
          <t>KRONOBERGS LÄN</t>
        </is>
      </c>
      <c r="E136" t="inlineStr">
        <is>
          <t>LJUNGBY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43790-2019</t>
        </is>
      </c>
      <c r="B137" s="1" t="n">
        <v>43707</v>
      </c>
      <c r="C137" s="1" t="n">
        <v>45812</v>
      </c>
      <c r="D137" t="inlineStr">
        <is>
          <t>KRONOBERGS LÄN</t>
        </is>
      </c>
      <c r="E137" t="inlineStr">
        <is>
          <t>LJUNGBY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43782-2019</t>
        </is>
      </c>
      <c r="B138" s="1" t="n">
        <v>43707</v>
      </c>
      <c r="C138" s="1" t="n">
        <v>45812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44306-2019</t>
        </is>
      </c>
      <c r="B139" s="1" t="n">
        <v>43710</v>
      </c>
      <c r="C139" s="1" t="n">
        <v>45812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44544-2019</t>
        </is>
      </c>
      <c r="B140" s="1" t="n">
        <v>43711</v>
      </c>
      <c r="C140" s="1" t="n">
        <v>45812</v>
      </c>
      <c r="D140" t="inlineStr">
        <is>
          <t>KRONOBERGS LÄN</t>
        </is>
      </c>
      <c r="E140" t="inlineStr">
        <is>
          <t>LJUNGBY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44548-2019</t>
        </is>
      </c>
      <c r="B141" s="1" t="n">
        <v>43711</v>
      </c>
      <c r="C141" s="1" t="n">
        <v>45812</v>
      </c>
      <c r="D141" t="inlineStr">
        <is>
          <t>KRONOBERGS LÄN</t>
        </is>
      </c>
      <c r="E141" t="inlineStr">
        <is>
          <t>LJUNGBY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44804-2019</t>
        </is>
      </c>
      <c r="B142" s="1" t="n">
        <v>43712</v>
      </c>
      <c r="C142" s="1" t="n">
        <v>45812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45320-2019</t>
        </is>
      </c>
      <c r="B143" s="1" t="n">
        <v>43714</v>
      </c>
      <c r="C143" s="1" t="n">
        <v>45812</v>
      </c>
      <c r="D143" t="inlineStr">
        <is>
          <t>KRONOBERGS LÄN</t>
        </is>
      </c>
      <c r="E143" t="inlineStr">
        <is>
          <t>LJUNGBY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45529-2019</t>
        </is>
      </c>
      <c r="B144" s="1" t="n">
        <v>43714</v>
      </c>
      <c r="C144" s="1" t="n">
        <v>45812</v>
      </c>
      <c r="D144" t="inlineStr">
        <is>
          <t>KRONOBERGS LÄN</t>
        </is>
      </c>
      <c r="E144" t="inlineStr">
        <is>
          <t>LJUNGBY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46474-2019</t>
        </is>
      </c>
      <c r="B145" s="1" t="n">
        <v>43719</v>
      </c>
      <c r="C145" s="1" t="n">
        <v>45812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46489-2019</t>
        </is>
      </c>
      <c r="B146" s="1" t="n">
        <v>43719</v>
      </c>
      <c r="C146" s="1" t="n">
        <v>45812</v>
      </c>
      <c r="D146" t="inlineStr">
        <is>
          <t>KRONOBERGS LÄN</t>
        </is>
      </c>
      <c r="E146" t="inlineStr">
        <is>
          <t>LJUNGBY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46737-2019</t>
        </is>
      </c>
      <c r="B147" s="1" t="n">
        <v>43719</v>
      </c>
      <c r="C147" s="1" t="n">
        <v>45812</v>
      </c>
      <c r="D147" t="inlineStr">
        <is>
          <t>KRONOBERGS LÄN</t>
        </is>
      </c>
      <c r="E147" t="inlineStr">
        <is>
          <t>LJUNGBY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46496-2019</t>
        </is>
      </c>
      <c r="B148" s="1" t="n">
        <v>43719</v>
      </c>
      <c r="C148" s="1" t="n">
        <v>45812</v>
      </c>
      <c r="D148" t="inlineStr">
        <is>
          <t>KRONOBERGS LÄN</t>
        </is>
      </c>
      <c r="E148" t="inlineStr">
        <is>
          <t>LJUNGBY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47320-2019</t>
        </is>
      </c>
      <c r="B149" s="1" t="n">
        <v>43721</v>
      </c>
      <c r="C149" s="1" t="n">
        <v>45812</v>
      </c>
      <c r="D149" t="inlineStr">
        <is>
          <t>KRONOBERGS LÄN</t>
        </is>
      </c>
      <c r="E149" t="inlineStr">
        <is>
          <t>LJUNGBY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48028-2019</t>
        </is>
      </c>
      <c r="B150" s="1" t="n">
        <v>43725</v>
      </c>
      <c r="C150" s="1" t="n">
        <v>45812</v>
      </c>
      <c r="D150" t="inlineStr">
        <is>
          <t>KRONOBERGS LÄN</t>
        </is>
      </c>
      <c r="E150" t="inlineStr">
        <is>
          <t>LJUNGBY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48013-2019</t>
        </is>
      </c>
      <c r="B151" s="1" t="n">
        <v>43725</v>
      </c>
      <c r="C151" s="1" t="n">
        <v>45812</v>
      </c>
      <c r="D151" t="inlineStr">
        <is>
          <t>KRONOBERGS LÄN</t>
        </is>
      </c>
      <c r="E151" t="inlineStr">
        <is>
          <t>LJUNGBY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48188-2019</t>
        </is>
      </c>
      <c r="B152" s="1" t="n">
        <v>43725</v>
      </c>
      <c r="C152" s="1" t="n">
        <v>45812</v>
      </c>
      <c r="D152" t="inlineStr">
        <is>
          <t>KRONOBERGS LÄN</t>
        </is>
      </c>
      <c r="E152" t="inlineStr">
        <is>
          <t>LJUNGBY</t>
        </is>
      </c>
      <c r="F152" t="inlineStr">
        <is>
          <t>Kyrkan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48270-2019</t>
        </is>
      </c>
      <c r="B153" s="1" t="n">
        <v>43726</v>
      </c>
      <c r="C153" s="1" t="n">
        <v>45812</v>
      </c>
      <c r="D153" t="inlineStr">
        <is>
          <t>KRONOBERGS LÄN</t>
        </is>
      </c>
      <c r="E153" t="inlineStr">
        <is>
          <t>LJUNGBY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48856-2019</t>
        </is>
      </c>
      <c r="B154" s="1" t="n">
        <v>43728</v>
      </c>
      <c r="C154" s="1" t="n">
        <v>45812</v>
      </c>
      <c r="D154" t="inlineStr">
        <is>
          <t>KRONOBERGS LÄN</t>
        </is>
      </c>
      <c r="E154" t="inlineStr">
        <is>
          <t>LJUNGBY</t>
        </is>
      </c>
      <c r="F154" t="inlineStr">
        <is>
          <t>Sveaskog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52440-2019</t>
        </is>
      </c>
      <c r="B155" s="1" t="n">
        <v>43735</v>
      </c>
      <c r="C155" s="1" t="n">
        <v>45812</v>
      </c>
      <c r="D155" t="inlineStr">
        <is>
          <t>KRONOBERGS LÄN</t>
        </is>
      </c>
      <c r="E155" t="inlineStr">
        <is>
          <t>LJUNGBY</t>
        </is>
      </c>
      <c r="F155" t="inlineStr">
        <is>
          <t>Kyrkan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51153-2019</t>
        </is>
      </c>
      <c r="B156" s="1" t="n">
        <v>43739</v>
      </c>
      <c r="C156" s="1" t="n">
        <v>45812</v>
      </c>
      <c r="D156" t="inlineStr">
        <is>
          <t>KRONOBERGS LÄN</t>
        </is>
      </c>
      <c r="E156" t="inlineStr">
        <is>
          <t>LJUNGBY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51100-2019</t>
        </is>
      </c>
      <c r="B157" s="1" t="n">
        <v>43739</v>
      </c>
      <c r="C157" s="1" t="n">
        <v>45812</v>
      </c>
      <c r="D157" t="inlineStr">
        <is>
          <t>KRONOBERGS LÄN</t>
        </is>
      </c>
      <c r="E157" t="inlineStr">
        <is>
          <t>LJUNGBY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51188-2019</t>
        </is>
      </c>
      <c r="B158" s="1" t="n">
        <v>43739</v>
      </c>
      <c r="C158" s="1" t="n">
        <v>45812</v>
      </c>
      <c r="D158" t="inlineStr">
        <is>
          <t>KRONOBERGS LÄN</t>
        </is>
      </c>
      <c r="E158" t="inlineStr">
        <is>
          <t>LJUNGBY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51715-2019</t>
        </is>
      </c>
      <c r="B159" s="1" t="n">
        <v>43741</v>
      </c>
      <c r="C159" s="1" t="n">
        <v>45812</v>
      </c>
      <c r="D159" t="inlineStr">
        <is>
          <t>KRONOBERGS LÄN</t>
        </is>
      </c>
      <c r="E159" t="inlineStr">
        <is>
          <t>LJUNGBY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51896-2019</t>
        </is>
      </c>
      <c r="B160" s="1" t="n">
        <v>43741</v>
      </c>
      <c r="C160" s="1" t="n">
        <v>45812</v>
      </c>
      <c r="D160" t="inlineStr">
        <is>
          <t>KRONOBERGS LÄN</t>
        </is>
      </c>
      <c r="E160" t="inlineStr">
        <is>
          <t>LJUNGBY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51903-2019</t>
        </is>
      </c>
      <c r="B161" s="1" t="n">
        <v>43741</v>
      </c>
      <c r="C161" s="1" t="n">
        <v>45812</v>
      </c>
      <c r="D161" t="inlineStr">
        <is>
          <t>KRONOBERGS LÄN</t>
        </is>
      </c>
      <c r="E161" t="inlineStr">
        <is>
          <t>LJUNGBY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52053-2019</t>
        </is>
      </c>
      <c r="B162" s="1" t="n">
        <v>43742</v>
      </c>
      <c r="C162" s="1" t="n">
        <v>45812</v>
      </c>
      <c r="D162" t="inlineStr">
        <is>
          <t>KRONOBERGS LÄN</t>
        </is>
      </c>
      <c r="E162" t="inlineStr">
        <is>
          <t>LJUNGBY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54318-2019</t>
        </is>
      </c>
      <c r="B163" s="1" t="n">
        <v>43753</v>
      </c>
      <c r="C163" s="1" t="n">
        <v>45812</v>
      </c>
      <c r="D163" t="inlineStr">
        <is>
          <t>KRONOBERGS LÄN</t>
        </is>
      </c>
      <c r="E163" t="inlineStr">
        <is>
          <t>LJUNGBY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55348-2019</t>
        </is>
      </c>
      <c r="B164" s="1" t="n">
        <v>43756</v>
      </c>
      <c r="C164" s="1" t="n">
        <v>45812</v>
      </c>
      <c r="D164" t="inlineStr">
        <is>
          <t>KRONOBERGS LÄN</t>
        </is>
      </c>
      <c r="E164" t="inlineStr">
        <is>
          <t>LJUNGBY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55957-2019</t>
        </is>
      </c>
      <c r="B165" s="1" t="n">
        <v>43759</v>
      </c>
      <c r="C165" s="1" t="n">
        <v>45812</v>
      </c>
      <c r="D165" t="inlineStr">
        <is>
          <t>KRONOBERGS LÄN</t>
        </is>
      </c>
      <c r="E165" t="inlineStr">
        <is>
          <t>LJUNGBY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56068-2019</t>
        </is>
      </c>
      <c r="B166" s="1" t="n">
        <v>43759</v>
      </c>
      <c r="C166" s="1" t="n">
        <v>45812</v>
      </c>
      <c r="D166" t="inlineStr">
        <is>
          <t>KRONOBERGS LÄN</t>
        </is>
      </c>
      <c r="E166" t="inlineStr">
        <is>
          <t>LJUNGBY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58781-2019</t>
        </is>
      </c>
      <c r="B167" s="1" t="n">
        <v>43773</v>
      </c>
      <c r="C167" s="1" t="n">
        <v>45812</v>
      </c>
      <c r="D167" t="inlineStr">
        <is>
          <t>KRONOBERGS LÄN</t>
        </is>
      </c>
      <c r="E167" t="inlineStr">
        <is>
          <t>LJUNGBY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59247-2019</t>
        </is>
      </c>
      <c r="B168" s="1" t="n">
        <v>43775</v>
      </c>
      <c r="C168" s="1" t="n">
        <v>45812</v>
      </c>
      <c r="D168" t="inlineStr">
        <is>
          <t>KRONOBERGS LÄN</t>
        </is>
      </c>
      <c r="E168" t="inlineStr">
        <is>
          <t>LJUNGBY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59945-2019</t>
        </is>
      </c>
      <c r="B169" s="1" t="n">
        <v>43777</v>
      </c>
      <c r="C169" s="1" t="n">
        <v>45812</v>
      </c>
      <c r="D169" t="inlineStr">
        <is>
          <t>KRONOBERGS LÄN</t>
        </is>
      </c>
      <c r="E169" t="inlineStr">
        <is>
          <t>LJUNGBY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60493-2019</t>
        </is>
      </c>
      <c r="B170" s="1" t="n">
        <v>43780</v>
      </c>
      <c r="C170" s="1" t="n">
        <v>45812</v>
      </c>
      <c r="D170" t="inlineStr">
        <is>
          <t>KRONOBERGS LÄN</t>
        </is>
      </c>
      <c r="E170" t="inlineStr">
        <is>
          <t>LJUNGBY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60156-2019</t>
        </is>
      </c>
      <c r="B171" s="1" t="n">
        <v>43780</v>
      </c>
      <c r="C171" s="1" t="n">
        <v>45812</v>
      </c>
      <c r="D171" t="inlineStr">
        <is>
          <t>KRONOBERGS LÄN</t>
        </is>
      </c>
      <c r="E171" t="inlineStr">
        <is>
          <t>LJUNGBY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61281-2019</t>
        </is>
      </c>
      <c r="B172" s="1" t="n">
        <v>43783</v>
      </c>
      <c r="C172" s="1" t="n">
        <v>45812</v>
      </c>
      <c r="D172" t="inlineStr">
        <is>
          <t>KRONOBERGS LÄN</t>
        </is>
      </c>
      <c r="E172" t="inlineStr">
        <is>
          <t>LJUNGBY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62051-2019</t>
        </is>
      </c>
      <c r="B173" s="1" t="n">
        <v>43787</v>
      </c>
      <c r="C173" s="1" t="n">
        <v>45812</v>
      </c>
      <c r="D173" t="inlineStr">
        <is>
          <t>KRONOBERGS LÄN</t>
        </is>
      </c>
      <c r="E173" t="inlineStr">
        <is>
          <t>LJUNGBY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62687-2019</t>
        </is>
      </c>
      <c r="B174" s="1" t="n">
        <v>43789</v>
      </c>
      <c r="C174" s="1" t="n">
        <v>45812</v>
      </c>
      <c r="D174" t="inlineStr">
        <is>
          <t>KRONOBERGS LÄN</t>
        </is>
      </c>
      <c r="E174" t="inlineStr">
        <is>
          <t>LJUNGBY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62779-2019</t>
        </is>
      </c>
      <c r="B175" s="1" t="n">
        <v>43790</v>
      </c>
      <c r="C175" s="1" t="n">
        <v>45812</v>
      </c>
      <c r="D175" t="inlineStr">
        <is>
          <t>KRONOBERGS LÄN</t>
        </is>
      </c>
      <c r="E175" t="inlineStr">
        <is>
          <t>LJUNGBY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64434-2019</t>
        </is>
      </c>
      <c r="B176" s="1" t="n">
        <v>43797</v>
      </c>
      <c r="C176" s="1" t="n">
        <v>45812</v>
      </c>
      <c r="D176" t="inlineStr">
        <is>
          <t>KRONOBERGS LÄN</t>
        </is>
      </c>
      <c r="E176" t="inlineStr">
        <is>
          <t>LJUNGBY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64946-2019</t>
        </is>
      </c>
      <c r="B177" s="1" t="n">
        <v>43801</v>
      </c>
      <c r="C177" s="1" t="n">
        <v>45812</v>
      </c>
      <c r="D177" t="inlineStr">
        <is>
          <t>KRONOBERGS LÄN</t>
        </is>
      </c>
      <c r="E177" t="inlineStr">
        <is>
          <t>LJUNGBY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65342-2019</t>
        </is>
      </c>
      <c r="B178" s="1" t="n">
        <v>43803</v>
      </c>
      <c r="C178" s="1" t="n">
        <v>45812</v>
      </c>
      <c r="D178" t="inlineStr">
        <is>
          <t>KRONOBERGS LÄN</t>
        </is>
      </c>
      <c r="E178" t="inlineStr">
        <is>
          <t>LJUNGBY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65653-2019</t>
        </is>
      </c>
      <c r="B179" s="1" t="n">
        <v>43804</v>
      </c>
      <c r="C179" s="1" t="n">
        <v>45812</v>
      </c>
      <c r="D179" t="inlineStr">
        <is>
          <t>KRONOBERGS LÄN</t>
        </is>
      </c>
      <c r="E179" t="inlineStr">
        <is>
          <t>LJUNGBY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65654-2019</t>
        </is>
      </c>
      <c r="B180" s="1" t="n">
        <v>43804</v>
      </c>
      <c r="C180" s="1" t="n">
        <v>45812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66246-2019</t>
        </is>
      </c>
      <c r="B181" s="1" t="n">
        <v>43808</v>
      </c>
      <c r="C181" s="1" t="n">
        <v>45812</v>
      </c>
      <c r="D181" t="inlineStr">
        <is>
          <t>KRONOBERGS LÄN</t>
        </is>
      </c>
      <c r="E181" t="inlineStr">
        <is>
          <t>LJUNGBY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66898-2019</t>
        </is>
      </c>
      <c r="B182" s="1" t="n">
        <v>43810</v>
      </c>
      <c r="C182" s="1" t="n">
        <v>45812</v>
      </c>
      <c r="D182" t="inlineStr">
        <is>
          <t>KRONOBERGS LÄN</t>
        </is>
      </c>
      <c r="E182" t="inlineStr">
        <is>
          <t>LJUNGBY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66910-2019</t>
        </is>
      </c>
      <c r="B183" s="1" t="n">
        <v>43810</v>
      </c>
      <c r="C183" s="1" t="n">
        <v>45812</v>
      </c>
      <c r="D183" t="inlineStr">
        <is>
          <t>KRONOBERGS LÄN</t>
        </is>
      </c>
      <c r="E183" t="inlineStr">
        <is>
          <t>LJUNGBY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66906-2019</t>
        </is>
      </c>
      <c r="B184" s="1" t="n">
        <v>43810</v>
      </c>
      <c r="C184" s="1" t="n">
        <v>45812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66902-2019</t>
        </is>
      </c>
      <c r="B185" s="1" t="n">
        <v>43810</v>
      </c>
      <c r="C185" s="1" t="n">
        <v>45812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68414-2019</t>
        </is>
      </c>
      <c r="B186" s="1" t="n">
        <v>43818</v>
      </c>
      <c r="C186" s="1" t="n">
        <v>45812</v>
      </c>
      <c r="D186" t="inlineStr">
        <is>
          <t>KRONOBERGS LÄN</t>
        </is>
      </c>
      <c r="E186" t="inlineStr">
        <is>
          <t>LJUNGBY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68478-2019</t>
        </is>
      </c>
      <c r="B187" s="1" t="n">
        <v>43818</v>
      </c>
      <c r="C187" s="1" t="n">
        <v>45812</v>
      </c>
      <c r="D187" t="inlineStr">
        <is>
          <t>KRONOBERGS LÄN</t>
        </is>
      </c>
      <c r="E187" t="inlineStr">
        <is>
          <t>LJUNGBY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68479-2019</t>
        </is>
      </c>
      <c r="B188" s="1" t="n">
        <v>43818</v>
      </c>
      <c r="C188" s="1" t="n">
        <v>45812</v>
      </c>
      <c r="D188" t="inlineStr">
        <is>
          <t>KRONOBERGS LÄN</t>
        </is>
      </c>
      <c r="E188" t="inlineStr">
        <is>
          <t>LJUNGBY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68484-2019</t>
        </is>
      </c>
      <c r="B189" s="1" t="n">
        <v>43818</v>
      </c>
      <c r="C189" s="1" t="n">
        <v>45812</v>
      </c>
      <c r="D189" t="inlineStr">
        <is>
          <t>KRONOBERGS LÄN</t>
        </is>
      </c>
      <c r="E189" t="inlineStr">
        <is>
          <t>LJUNGBY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772-2020</t>
        </is>
      </c>
      <c r="B190" s="1" t="n">
        <v>43838</v>
      </c>
      <c r="C190" s="1" t="n">
        <v>45812</v>
      </c>
      <c r="D190" t="inlineStr">
        <is>
          <t>KRONOBERGS LÄN</t>
        </is>
      </c>
      <c r="E190" t="inlineStr">
        <is>
          <t>LJUNGBY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774-2020</t>
        </is>
      </c>
      <c r="B191" s="1" t="n">
        <v>43838</v>
      </c>
      <c r="C191" s="1" t="n">
        <v>45812</v>
      </c>
      <c r="D191" t="inlineStr">
        <is>
          <t>KRONOBERGS LÄN</t>
        </is>
      </c>
      <c r="E191" t="inlineStr">
        <is>
          <t>LJUNGBY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1192-2020</t>
        </is>
      </c>
      <c r="B192" s="1" t="n">
        <v>43840</v>
      </c>
      <c r="C192" s="1" t="n">
        <v>45812</v>
      </c>
      <c r="D192" t="inlineStr">
        <is>
          <t>KRONOBERGS LÄN</t>
        </is>
      </c>
      <c r="E192" t="inlineStr">
        <is>
          <t>LJUNGBY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2474-2020</t>
        </is>
      </c>
      <c r="B193" s="1" t="n">
        <v>43847</v>
      </c>
      <c r="C193" s="1" t="n">
        <v>45812</v>
      </c>
      <c r="D193" t="inlineStr">
        <is>
          <t>KRONOBERGS LÄN</t>
        </is>
      </c>
      <c r="E193" t="inlineStr">
        <is>
          <t>LJUNGBY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2779-2020</t>
        </is>
      </c>
      <c r="B194" s="1" t="n">
        <v>43850</v>
      </c>
      <c r="C194" s="1" t="n">
        <v>45812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3186-2020</t>
        </is>
      </c>
      <c r="B195" s="1" t="n">
        <v>43851</v>
      </c>
      <c r="C195" s="1" t="n">
        <v>45812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3655-2020</t>
        </is>
      </c>
      <c r="B196" s="1" t="n">
        <v>43853</v>
      </c>
      <c r="C196" s="1" t="n">
        <v>45812</v>
      </c>
      <c r="D196" t="inlineStr">
        <is>
          <t>KRONOBERGS LÄN</t>
        </is>
      </c>
      <c r="E196" t="inlineStr">
        <is>
          <t>LJUNGBY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3662-2020</t>
        </is>
      </c>
      <c r="B197" s="1" t="n">
        <v>43853</v>
      </c>
      <c r="C197" s="1" t="n">
        <v>45812</v>
      </c>
      <c r="D197" t="inlineStr">
        <is>
          <t>KRONOBERGS LÄN</t>
        </is>
      </c>
      <c r="E197" t="inlineStr">
        <is>
          <t>LJUNGBY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6230-2020</t>
        </is>
      </c>
      <c r="B198" s="1" t="n">
        <v>43866</v>
      </c>
      <c r="C198" s="1" t="n">
        <v>45812</v>
      </c>
      <c r="D198" t="inlineStr">
        <is>
          <t>KRONOBERGS LÄN</t>
        </is>
      </c>
      <c r="E198" t="inlineStr">
        <is>
          <t>LJUNGBY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6477-2020</t>
        </is>
      </c>
      <c r="B199" s="1" t="n">
        <v>43866</v>
      </c>
      <c r="C199" s="1" t="n">
        <v>45812</v>
      </c>
      <c r="D199" t="inlineStr">
        <is>
          <t>KRONOBERGS LÄN</t>
        </is>
      </c>
      <c r="E199" t="inlineStr">
        <is>
          <t>LJUNGBY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8004-2020</t>
        </is>
      </c>
      <c r="B200" s="1" t="n">
        <v>43873</v>
      </c>
      <c r="C200" s="1" t="n">
        <v>45812</v>
      </c>
      <c r="D200" t="inlineStr">
        <is>
          <t>KRONOBERGS LÄN</t>
        </is>
      </c>
      <c r="E200" t="inlineStr">
        <is>
          <t>LJUNGBY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8063-2020</t>
        </is>
      </c>
      <c r="B201" s="1" t="n">
        <v>43874</v>
      </c>
      <c r="C201" s="1" t="n">
        <v>45812</v>
      </c>
      <c r="D201" t="inlineStr">
        <is>
          <t>KRONOBERGS LÄN</t>
        </is>
      </c>
      <c r="E201" t="inlineStr">
        <is>
          <t>LJUNGBY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9821-2020</t>
        </is>
      </c>
      <c r="B202" s="1" t="n">
        <v>43881</v>
      </c>
      <c r="C202" s="1" t="n">
        <v>45812</v>
      </c>
      <c r="D202" t="inlineStr">
        <is>
          <t>KRONOBERGS LÄN</t>
        </is>
      </c>
      <c r="E202" t="inlineStr">
        <is>
          <t>LJUNGBY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13010-2020</t>
        </is>
      </c>
      <c r="B203" s="1" t="n">
        <v>43900</v>
      </c>
      <c r="C203" s="1" t="n">
        <v>45812</v>
      </c>
      <c r="D203" t="inlineStr">
        <is>
          <t>KRONOBERGS LÄN</t>
        </is>
      </c>
      <c r="E203" t="inlineStr">
        <is>
          <t>LJUNGBY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14392-2020</t>
        </is>
      </c>
      <c r="B204" s="1" t="n">
        <v>43908</v>
      </c>
      <c r="C204" s="1" t="n">
        <v>45812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15108-2020</t>
        </is>
      </c>
      <c r="B205" s="1" t="n">
        <v>43910</v>
      </c>
      <c r="C205" s="1" t="n">
        <v>45812</v>
      </c>
      <c r="D205" t="inlineStr">
        <is>
          <t>KRONOBERGS LÄN</t>
        </is>
      </c>
      <c r="E205" t="inlineStr">
        <is>
          <t>LJUNGBY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15341-2020</t>
        </is>
      </c>
      <c r="B206" s="1" t="n">
        <v>43913</v>
      </c>
      <c r="C206" s="1" t="n">
        <v>45812</v>
      </c>
      <c r="D206" t="inlineStr">
        <is>
          <t>KRONOBERGS LÄN</t>
        </is>
      </c>
      <c r="E206" t="inlineStr">
        <is>
          <t>LJUNGBY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15231-2020</t>
        </is>
      </c>
      <c r="B207" s="1" t="n">
        <v>43913</v>
      </c>
      <c r="C207" s="1" t="n">
        <v>45812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15239-2020</t>
        </is>
      </c>
      <c r="B208" s="1" t="n">
        <v>43913</v>
      </c>
      <c r="C208" s="1" t="n">
        <v>45812</v>
      </c>
      <c r="D208" t="inlineStr">
        <is>
          <t>KRONOBERGS LÄN</t>
        </is>
      </c>
      <c r="E208" t="inlineStr">
        <is>
          <t>LJUNGBY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15487-2020</t>
        </is>
      </c>
      <c r="B209" s="1" t="n">
        <v>43914</v>
      </c>
      <c r="C209" s="1" t="n">
        <v>45812</v>
      </c>
      <c r="D209" t="inlineStr">
        <is>
          <t>KRONOBERGS LÄN</t>
        </is>
      </c>
      <c r="E209" t="inlineStr">
        <is>
          <t>LJUNGBY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15791-2020</t>
        </is>
      </c>
      <c r="B210" s="1" t="n">
        <v>43915</v>
      </c>
      <c r="C210" s="1" t="n">
        <v>45812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15858-2020</t>
        </is>
      </c>
      <c r="B211" s="1" t="n">
        <v>43915</v>
      </c>
      <c r="C211" s="1" t="n">
        <v>45812</v>
      </c>
      <c r="D211" t="inlineStr">
        <is>
          <t>KRONOBERGS LÄN</t>
        </is>
      </c>
      <c r="E211" t="inlineStr">
        <is>
          <t>LJUNGBY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16099-2020</t>
        </is>
      </c>
      <c r="B212" s="1" t="n">
        <v>43916</v>
      </c>
      <c r="C212" s="1" t="n">
        <v>45812</v>
      </c>
      <c r="D212" t="inlineStr">
        <is>
          <t>KRONOBERGS LÄN</t>
        </is>
      </c>
      <c r="E212" t="inlineStr">
        <is>
          <t>LJUNGBY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16683-2020</t>
        </is>
      </c>
      <c r="B213" s="1" t="n">
        <v>43920</v>
      </c>
      <c r="C213" s="1" t="n">
        <v>45812</v>
      </c>
      <c r="D213" t="inlineStr">
        <is>
          <t>KRONOBERGS LÄN</t>
        </is>
      </c>
      <c r="E213" t="inlineStr">
        <is>
          <t>LJUNGBY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16954-2020</t>
        </is>
      </c>
      <c r="B214" s="1" t="n">
        <v>43921</v>
      </c>
      <c r="C214" s="1" t="n">
        <v>45812</v>
      </c>
      <c r="D214" t="inlineStr">
        <is>
          <t>KRONOBERGS LÄN</t>
        </is>
      </c>
      <c r="E214" t="inlineStr">
        <is>
          <t>LJUNGBY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16957-2020</t>
        </is>
      </c>
      <c r="B215" s="1" t="n">
        <v>43921</v>
      </c>
      <c r="C215" s="1" t="n">
        <v>45812</v>
      </c>
      <c r="D215" t="inlineStr">
        <is>
          <t>KRONOBERGS LÄN</t>
        </is>
      </c>
      <c r="E215" t="inlineStr">
        <is>
          <t>LJUNGBY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17329-2020</t>
        </is>
      </c>
      <c r="B216" s="1" t="n">
        <v>43922</v>
      </c>
      <c r="C216" s="1" t="n">
        <v>45812</v>
      </c>
      <c r="D216" t="inlineStr">
        <is>
          <t>KRONOBERGS LÄN</t>
        </is>
      </c>
      <c r="E216" t="inlineStr">
        <is>
          <t>LJUNGBY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17705-2020</t>
        </is>
      </c>
      <c r="B217" s="1" t="n">
        <v>43924</v>
      </c>
      <c r="C217" s="1" t="n">
        <v>45812</v>
      </c>
      <c r="D217" t="inlineStr">
        <is>
          <t>KRONOBERGS LÄN</t>
        </is>
      </c>
      <c r="E217" t="inlineStr">
        <is>
          <t>LJUNGBY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18192-2020</t>
        </is>
      </c>
      <c r="B218" s="1" t="n">
        <v>43927</v>
      </c>
      <c r="C218" s="1" t="n">
        <v>45812</v>
      </c>
      <c r="D218" t="inlineStr">
        <is>
          <t>KRONOBERGS LÄN</t>
        </is>
      </c>
      <c r="E218" t="inlineStr">
        <is>
          <t>LJUNGBY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18330-2020</t>
        </is>
      </c>
      <c r="B219" s="1" t="n">
        <v>43927</v>
      </c>
      <c r="C219" s="1" t="n">
        <v>45812</v>
      </c>
      <c r="D219" t="inlineStr">
        <is>
          <t>KRONOBERGS LÄN</t>
        </is>
      </c>
      <c r="E219" t="inlineStr">
        <is>
          <t>LJUNGBY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18589-2020</t>
        </is>
      </c>
      <c r="B220" s="1" t="n">
        <v>43929</v>
      </c>
      <c r="C220" s="1" t="n">
        <v>45812</v>
      </c>
      <c r="D220" t="inlineStr">
        <is>
          <t>KRONOBERGS LÄN</t>
        </is>
      </c>
      <c r="E220" t="inlineStr">
        <is>
          <t>LJUNGBY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19144-2020</t>
        </is>
      </c>
      <c r="B221" s="1" t="n">
        <v>43936</v>
      </c>
      <c r="C221" s="1" t="n">
        <v>45812</v>
      </c>
      <c r="D221" t="inlineStr">
        <is>
          <t>KRONOBERGS LÄN</t>
        </is>
      </c>
      <c r="E221" t="inlineStr">
        <is>
          <t>LJUNGBY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19145-2020</t>
        </is>
      </c>
      <c r="B222" s="1" t="n">
        <v>43936</v>
      </c>
      <c r="C222" s="1" t="n">
        <v>45812</v>
      </c>
      <c r="D222" t="inlineStr">
        <is>
          <t>KRONOBERGS LÄN</t>
        </is>
      </c>
      <c r="E222" t="inlineStr">
        <is>
          <t>LJUNGBY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19326-2020</t>
        </is>
      </c>
      <c r="B223" s="1" t="n">
        <v>43937</v>
      </c>
      <c r="C223" s="1" t="n">
        <v>45812</v>
      </c>
      <c r="D223" t="inlineStr">
        <is>
          <t>KRONOBERGS LÄN</t>
        </is>
      </c>
      <c r="E223" t="inlineStr">
        <is>
          <t>LJUNGBY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19325-2020</t>
        </is>
      </c>
      <c r="B224" s="1" t="n">
        <v>43937</v>
      </c>
      <c r="C224" s="1" t="n">
        <v>45812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19328-2020</t>
        </is>
      </c>
      <c r="B225" s="1" t="n">
        <v>43937</v>
      </c>
      <c r="C225" s="1" t="n">
        <v>45812</v>
      </c>
      <c r="D225" t="inlineStr">
        <is>
          <t>KRONOBERGS LÄN</t>
        </is>
      </c>
      <c r="E225" t="inlineStr">
        <is>
          <t>LJUNGBY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19329-2020</t>
        </is>
      </c>
      <c r="B226" s="1" t="n">
        <v>43937</v>
      </c>
      <c r="C226" s="1" t="n">
        <v>45812</v>
      </c>
      <c r="D226" t="inlineStr">
        <is>
          <t>KRONOBERGS LÄN</t>
        </is>
      </c>
      <c r="E226" t="inlineStr">
        <is>
          <t>LJUNGBY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19896-2020</t>
        </is>
      </c>
      <c r="B227" s="1" t="n">
        <v>43942</v>
      </c>
      <c r="C227" s="1" t="n">
        <v>45812</v>
      </c>
      <c r="D227" t="inlineStr">
        <is>
          <t>KRONOBERGS LÄN</t>
        </is>
      </c>
      <c r="E227" t="inlineStr">
        <is>
          <t>LJUNGBY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21034-2020</t>
        </is>
      </c>
      <c r="B228" s="1" t="n">
        <v>43950</v>
      </c>
      <c r="C228" s="1" t="n">
        <v>45812</v>
      </c>
      <c r="D228" t="inlineStr">
        <is>
          <t>KRONOBERGS LÄN</t>
        </is>
      </c>
      <c r="E228" t="inlineStr">
        <is>
          <t>LJUNGBY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21136-2020</t>
        </is>
      </c>
      <c r="B229" s="1" t="n">
        <v>43951</v>
      </c>
      <c r="C229" s="1" t="n">
        <v>45812</v>
      </c>
      <c r="D229" t="inlineStr">
        <is>
          <t>KRONOBERGS LÄN</t>
        </is>
      </c>
      <c r="E229" t="inlineStr">
        <is>
          <t>LJUNGBY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21135-2020</t>
        </is>
      </c>
      <c r="B230" s="1" t="n">
        <v>43951</v>
      </c>
      <c r="C230" s="1" t="n">
        <v>45812</v>
      </c>
      <c r="D230" t="inlineStr">
        <is>
          <t>KRONOBERGS LÄN</t>
        </is>
      </c>
      <c r="E230" t="inlineStr">
        <is>
          <t>LJUNGBY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23093-2020</t>
        </is>
      </c>
      <c r="B231" s="1" t="n">
        <v>43965</v>
      </c>
      <c r="C231" s="1" t="n">
        <v>45812</v>
      </c>
      <c r="D231" t="inlineStr">
        <is>
          <t>KRONOBERGS LÄN</t>
        </is>
      </c>
      <c r="E231" t="inlineStr">
        <is>
          <t>LJUNGBY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23163-2020</t>
        </is>
      </c>
      <c r="B232" s="1" t="n">
        <v>43966</v>
      </c>
      <c r="C232" s="1" t="n">
        <v>45812</v>
      </c>
      <c r="D232" t="inlineStr">
        <is>
          <t>KRONOBERGS LÄN</t>
        </is>
      </c>
      <c r="E232" t="inlineStr">
        <is>
          <t>LJUNGBY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23262-2020</t>
        </is>
      </c>
      <c r="B233" s="1" t="n">
        <v>43966</v>
      </c>
      <c r="C233" s="1" t="n">
        <v>45812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23313-2020</t>
        </is>
      </c>
      <c r="B234" s="1" t="n">
        <v>43966</v>
      </c>
      <c r="C234" s="1" t="n">
        <v>45812</v>
      </c>
      <c r="D234" t="inlineStr">
        <is>
          <t>KRONOBERGS LÄN</t>
        </is>
      </c>
      <c r="E234" t="inlineStr">
        <is>
          <t>LJUNGBY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23661-2020</t>
        </is>
      </c>
      <c r="B235" s="1" t="n">
        <v>43970</v>
      </c>
      <c r="C235" s="1" t="n">
        <v>45812</v>
      </c>
      <c r="D235" t="inlineStr">
        <is>
          <t>KRONOBERGS LÄN</t>
        </is>
      </c>
      <c r="E235" t="inlineStr">
        <is>
          <t>LJUNGBY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23945-2020</t>
        </is>
      </c>
      <c r="B236" s="1" t="n">
        <v>43971</v>
      </c>
      <c r="C236" s="1" t="n">
        <v>45812</v>
      </c>
      <c r="D236" t="inlineStr">
        <is>
          <t>KRONOBERGS LÄN</t>
        </is>
      </c>
      <c r="E236" t="inlineStr">
        <is>
          <t>LJUNGBY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23930-2020</t>
        </is>
      </c>
      <c r="B237" s="1" t="n">
        <v>43971</v>
      </c>
      <c r="C237" s="1" t="n">
        <v>45812</v>
      </c>
      <c r="D237" t="inlineStr">
        <is>
          <t>KRONOBERGS LÄN</t>
        </is>
      </c>
      <c r="E237" t="inlineStr">
        <is>
          <t>LJUNGBY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25838-2020</t>
        </is>
      </c>
      <c r="B238" s="1" t="n">
        <v>43984</v>
      </c>
      <c r="C238" s="1" t="n">
        <v>45812</v>
      </c>
      <c r="D238" t="inlineStr">
        <is>
          <t>KRONOBERGS LÄN</t>
        </is>
      </c>
      <c r="E238" t="inlineStr">
        <is>
          <t>LJUNGBY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26504-2020</t>
        </is>
      </c>
      <c r="B239" s="1" t="n">
        <v>43987</v>
      </c>
      <c r="C239" s="1" t="n">
        <v>45812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27702-2020</t>
        </is>
      </c>
      <c r="B240" s="1" t="n">
        <v>43992</v>
      </c>
      <c r="C240" s="1" t="n">
        <v>45812</v>
      </c>
      <c r="D240" t="inlineStr">
        <is>
          <t>KRONOBERGS LÄN</t>
        </is>
      </c>
      <c r="E240" t="inlineStr">
        <is>
          <t>LJUNGBY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28668-2020</t>
        </is>
      </c>
      <c r="B241" s="1" t="n">
        <v>43999</v>
      </c>
      <c r="C241" s="1" t="n">
        <v>45812</v>
      </c>
      <c r="D241" t="inlineStr">
        <is>
          <t>KRONOBERGS LÄN</t>
        </is>
      </c>
      <c r="E241" t="inlineStr">
        <is>
          <t>LJUNGBY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28607-2020</t>
        </is>
      </c>
      <c r="B242" s="1" t="n">
        <v>43999</v>
      </c>
      <c r="C242" s="1" t="n">
        <v>45812</v>
      </c>
      <c r="D242" t="inlineStr">
        <is>
          <t>KRONOBERGS LÄN</t>
        </is>
      </c>
      <c r="E242" t="inlineStr">
        <is>
          <t>LJUNGBY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28846-2020</t>
        </is>
      </c>
      <c r="B243" s="1" t="n">
        <v>44000</v>
      </c>
      <c r="C243" s="1" t="n">
        <v>45812</v>
      </c>
      <c r="D243" t="inlineStr">
        <is>
          <t>KRONOBERGS LÄN</t>
        </is>
      </c>
      <c r="E243" t="inlineStr">
        <is>
          <t>LJUNGBY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29352-2020</t>
        </is>
      </c>
      <c r="B244" s="1" t="n">
        <v>44004</v>
      </c>
      <c r="C244" s="1" t="n">
        <v>45812</v>
      </c>
      <c r="D244" t="inlineStr">
        <is>
          <t>KRONOBERGS LÄN</t>
        </is>
      </c>
      <c r="E244" t="inlineStr">
        <is>
          <t>LJUNGBY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29524-2020</t>
        </is>
      </c>
      <c r="B245" s="1" t="n">
        <v>44005</v>
      </c>
      <c r="C245" s="1" t="n">
        <v>45812</v>
      </c>
      <c r="D245" t="inlineStr">
        <is>
          <t>KRONOBERGS LÄN</t>
        </is>
      </c>
      <c r="E245" t="inlineStr">
        <is>
          <t>LJUNGBY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29561-2020</t>
        </is>
      </c>
      <c r="B246" s="1" t="n">
        <v>44005</v>
      </c>
      <c r="C246" s="1" t="n">
        <v>45812</v>
      </c>
      <c r="D246" t="inlineStr">
        <is>
          <t>KRONOBERGS LÄN</t>
        </is>
      </c>
      <c r="E246" t="inlineStr">
        <is>
          <t>LJUNGBY</t>
        </is>
      </c>
      <c r="G246" t="n">
        <v>10.6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30379-2020</t>
        </is>
      </c>
      <c r="B247" s="1" t="n">
        <v>44007</v>
      </c>
      <c r="C247" s="1" t="n">
        <v>45812</v>
      </c>
      <c r="D247" t="inlineStr">
        <is>
          <t>KRONOBERGS LÄN</t>
        </is>
      </c>
      <c r="E247" t="inlineStr">
        <is>
          <t>LJUNGBY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30700-2020</t>
        </is>
      </c>
      <c r="B248" s="1" t="n">
        <v>44008</v>
      </c>
      <c r="C248" s="1" t="n">
        <v>45812</v>
      </c>
      <c r="D248" t="inlineStr">
        <is>
          <t>KRONOBERGS LÄN</t>
        </is>
      </c>
      <c r="E248" t="inlineStr">
        <is>
          <t>LJUNGBY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30551-2020</t>
        </is>
      </c>
      <c r="B249" s="1" t="n">
        <v>44008</v>
      </c>
      <c r="C249" s="1" t="n">
        <v>45812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30702-2020</t>
        </is>
      </c>
      <c r="B250" s="1" t="n">
        <v>44008</v>
      </c>
      <c r="C250" s="1" t="n">
        <v>45812</v>
      </c>
      <c r="D250" t="inlineStr">
        <is>
          <t>KRONOBERGS LÄN</t>
        </is>
      </c>
      <c r="E250" t="inlineStr">
        <is>
          <t>LJUNGBY</t>
        </is>
      </c>
      <c r="F250" t="inlineStr">
        <is>
          <t>Kyrkan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30827-2020</t>
        </is>
      </c>
      <c r="B251" s="1" t="n">
        <v>44011</v>
      </c>
      <c r="C251" s="1" t="n">
        <v>45812</v>
      </c>
      <c r="D251" t="inlineStr">
        <is>
          <t>KRONOBERGS LÄN</t>
        </is>
      </c>
      <c r="E251" t="inlineStr">
        <is>
          <t>LJUNGBY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32792-2020</t>
        </is>
      </c>
      <c r="B252" s="1" t="n">
        <v>44020</v>
      </c>
      <c r="C252" s="1" t="n">
        <v>45812</v>
      </c>
      <c r="D252" t="inlineStr">
        <is>
          <t>KRONOBERGS LÄN</t>
        </is>
      </c>
      <c r="E252" t="inlineStr">
        <is>
          <t>LJUNGBY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33234-2020</t>
        </is>
      </c>
      <c r="B253" s="1" t="n">
        <v>44022</v>
      </c>
      <c r="C253" s="1" t="n">
        <v>45812</v>
      </c>
      <c r="D253" t="inlineStr">
        <is>
          <t>KRONOBERGS LÄN</t>
        </is>
      </c>
      <c r="E253" t="inlineStr">
        <is>
          <t>LJUNGBY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34487-2020</t>
        </is>
      </c>
      <c r="B254" s="1" t="n">
        <v>44033</v>
      </c>
      <c r="C254" s="1" t="n">
        <v>45812</v>
      </c>
      <c r="D254" t="inlineStr">
        <is>
          <t>KRONOBERGS LÄN</t>
        </is>
      </c>
      <c r="E254" t="inlineStr">
        <is>
          <t>LJUNGBY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34829-2020</t>
        </is>
      </c>
      <c r="B255" s="1" t="n">
        <v>44036</v>
      </c>
      <c r="C255" s="1" t="n">
        <v>45812</v>
      </c>
      <c r="D255" t="inlineStr">
        <is>
          <t>KRONOBERGS LÄN</t>
        </is>
      </c>
      <c r="E255" t="inlineStr">
        <is>
          <t>LJUNGBY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34809-2020</t>
        </is>
      </c>
      <c r="B256" s="1" t="n">
        <v>44036</v>
      </c>
      <c r="C256" s="1" t="n">
        <v>45812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35529-2020</t>
        </is>
      </c>
      <c r="B257" s="1" t="n">
        <v>44043</v>
      </c>
      <c r="C257" s="1" t="n">
        <v>45812</v>
      </c>
      <c r="D257" t="inlineStr">
        <is>
          <t>KRONOBERGS LÄN</t>
        </is>
      </c>
      <c r="E257" t="inlineStr">
        <is>
          <t>LJUNGBY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36251-2020</t>
        </is>
      </c>
      <c r="B258" s="1" t="n">
        <v>44049</v>
      </c>
      <c r="C258" s="1" t="n">
        <v>45812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37695-2020</t>
        </is>
      </c>
      <c r="B259" s="1" t="n">
        <v>44056</v>
      </c>
      <c r="C259" s="1" t="n">
        <v>45812</v>
      </c>
      <c r="D259" t="inlineStr">
        <is>
          <t>KRONOBERGS LÄN</t>
        </is>
      </c>
      <c r="E259" t="inlineStr">
        <is>
          <t>LJUNGBY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38363-2020</t>
        </is>
      </c>
      <c r="B260" s="1" t="n">
        <v>44060</v>
      </c>
      <c r="C260" s="1" t="n">
        <v>45812</v>
      </c>
      <c r="D260" t="inlineStr">
        <is>
          <t>KRONOBERGS LÄN</t>
        </is>
      </c>
      <c r="E260" t="inlineStr">
        <is>
          <t>LJUNGBY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38383-2020</t>
        </is>
      </c>
      <c r="B261" s="1" t="n">
        <v>44060</v>
      </c>
      <c r="C261" s="1" t="n">
        <v>45812</v>
      </c>
      <c r="D261" t="inlineStr">
        <is>
          <t>KRONOBERGS LÄN</t>
        </is>
      </c>
      <c r="E261" t="inlineStr">
        <is>
          <t>LJUNGBY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38507-2020</t>
        </is>
      </c>
      <c r="B262" s="1" t="n">
        <v>44061</v>
      </c>
      <c r="C262" s="1" t="n">
        <v>45812</v>
      </c>
      <c r="D262" t="inlineStr">
        <is>
          <t>KRONOBERGS LÄN</t>
        </is>
      </c>
      <c r="E262" t="inlineStr">
        <is>
          <t>LJUNGBY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39504-2020</t>
        </is>
      </c>
      <c r="B263" s="1" t="n">
        <v>44064</v>
      </c>
      <c r="C263" s="1" t="n">
        <v>45812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40701-2020</t>
        </is>
      </c>
      <c r="B264" s="1" t="n">
        <v>44069</v>
      </c>
      <c r="C264" s="1" t="n">
        <v>45812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40775-2020</t>
        </is>
      </c>
      <c r="B265" s="1" t="n">
        <v>44070</v>
      </c>
      <c r="C265" s="1" t="n">
        <v>45812</v>
      </c>
      <c r="D265" t="inlineStr">
        <is>
          <t>KRONOBERGS LÄN</t>
        </is>
      </c>
      <c r="E265" t="inlineStr">
        <is>
          <t>LJUNGBY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41478-2020</t>
        </is>
      </c>
      <c r="B266" s="1" t="n">
        <v>44070</v>
      </c>
      <c r="C266" s="1" t="n">
        <v>45812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42063-2020</t>
        </is>
      </c>
      <c r="B267" s="1" t="n">
        <v>44075</v>
      </c>
      <c r="C267" s="1" t="n">
        <v>45812</v>
      </c>
      <c r="D267" t="inlineStr">
        <is>
          <t>KRONOBERGS LÄN</t>
        </is>
      </c>
      <c r="E267" t="inlineStr">
        <is>
          <t>LJUNGBY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42017-2020</t>
        </is>
      </c>
      <c r="B268" s="1" t="n">
        <v>44075</v>
      </c>
      <c r="C268" s="1" t="n">
        <v>45812</v>
      </c>
      <c r="D268" t="inlineStr">
        <is>
          <t>KRONOBERGS LÄN</t>
        </is>
      </c>
      <c r="E268" t="inlineStr">
        <is>
          <t>LJUNGBY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42215-2020</t>
        </is>
      </c>
      <c r="B269" s="1" t="n">
        <v>44075</v>
      </c>
      <c r="C269" s="1" t="n">
        <v>45812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42977-2020</t>
        </is>
      </c>
      <c r="B270" s="1" t="n">
        <v>44078</v>
      </c>
      <c r="C270" s="1" t="n">
        <v>45812</v>
      </c>
      <c r="D270" t="inlineStr">
        <is>
          <t>KRONOBERGS LÄN</t>
        </is>
      </c>
      <c r="E270" t="inlineStr">
        <is>
          <t>LJUNGBY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43747-2020</t>
        </is>
      </c>
      <c r="B271" s="1" t="n">
        <v>44082</v>
      </c>
      <c r="C271" s="1" t="n">
        <v>45812</v>
      </c>
      <c r="D271" t="inlineStr">
        <is>
          <t>KRONOBERGS LÄN</t>
        </is>
      </c>
      <c r="E271" t="inlineStr">
        <is>
          <t>LJUNGBY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44374-2020</t>
        </is>
      </c>
      <c r="B272" s="1" t="n">
        <v>44084</v>
      </c>
      <c r="C272" s="1" t="n">
        <v>45812</v>
      </c>
      <c r="D272" t="inlineStr">
        <is>
          <t>KRONOBERGS LÄN</t>
        </is>
      </c>
      <c r="E272" t="inlineStr">
        <is>
          <t>LJUNGBY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44342-2020</t>
        </is>
      </c>
      <c r="B273" s="1" t="n">
        <v>44084</v>
      </c>
      <c r="C273" s="1" t="n">
        <v>45812</v>
      </c>
      <c r="D273" t="inlineStr">
        <is>
          <t>KRONOBERGS LÄN</t>
        </is>
      </c>
      <c r="E273" t="inlineStr">
        <is>
          <t>LJUNGBY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45750-2020</t>
        </is>
      </c>
      <c r="B274" s="1" t="n">
        <v>44090</v>
      </c>
      <c r="C274" s="1" t="n">
        <v>45812</v>
      </c>
      <c r="D274" t="inlineStr">
        <is>
          <t>KRONOBERGS LÄN</t>
        </is>
      </c>
      <c r="E274" t="inlineStr">
        <is>
          <t>LJUNGBY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47403-2020</t>
        </is>
      </c>
      <c r="B275" s="1" t="n">
        <v>44097</v>
      </c>
      <c r="C275" s="1" t="n">
        <v>45812</v>
      </c>
      <c r="D275" t="inlineStr">
        <is>
          <t>KRONOBERGS LÄN</t>
        </is>
      </c>
      <c r="E275" t="inlineStr">
        <is>
          <t>LJUNGBY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47576-2020</t>
        </is>
      </c>
      <c r="B276" s="1" t="n">
        <v>44098</v>
      </c>
      <c r="C276" s="1" t="n">
        <v>45812</v>
      </c>
      <c r="D276" t="inlineStr">
        <is>
          <t>KRONOBERGS LÄN</t>
        </is>
      </c>
      <c r="E276" t="inlineStr">
        <is>
          <t>LJUNGBY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48923-2020</t>
        </is>
      </c>
      <c r="B277" s="1" t="n">
        <v>44104</v>
      </c>
      <c r="C277" s="1" t="n">
        <v>45812</v>
      </c>
      <c r="D277" t="inlineStr">
        <is>
          <t>KRONOBERGS LÄN</t>
        </is>
      </c>
      <c r="E277" t="inlineStr">
        <is>
          <t>LJUNGBY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51640-2020</t>
        </is>
      </c>
      <c r="B278" s="1" t="n">
        <v>44109</v>
      </c>
      <c r="C278" s="1" t="n">
        <v>45812</v>
      </c>
      <c r="D278" t="inlineStr">
        <is>
          <t>KRONOBERGS LÄN</t>
        </is>
      </c>
      <c r="E278" t="inlineStr">
        <is>
          <t>LJUNGBY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50550-2020</t>
        </is>
      </c>
      <c r="B279" s="1" t="n">
        <v>44110</v>
      </c>
      <c r="C279" s="1" t="n">
        <v>45812</v>
      </c>
      <c r="D279" t="inlineStr">
        <is>
          <t>KRONOBERGS LÄN</t>
        </is>
      </c>
      <c r="E279" t="inlineStr">
        <is>
          <t>LJUNGBY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51137-2020</t>
        </is>
      </c>
      <c r="B280" s="1" t="n">
        <v>44112</v>
      </c>
      <c r="C280" s="1" t="n">
        <v>45812</v>
      </c>
      <c r="D280" t="inlineStr">
        <is>
          <t>KRONOBERGS LÄN</t>
        </is>
      </c>
      <c r="E280" t="inlineStr">
        <is>
          <t>LJUNGBY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52977-2020</t>
        </is>
      </c>
      <c r="B281" s="1" t="n">
        <v>44119</v>
      </c>
      <c r="C281" s="1" t="n">
        <v>45812</v>
      </c>
      <c r="D281" t="inlineStr">
        <is>
          <t>KRONOBERGS LÄN</t>
        </is>
      </c>
      <c r="E281" t="inlineStr">
        <is>
          <t>LJUNGBY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53638-2020</t>
        </is>
      </c>
      <c r="B282" s="1" t="n">
        <v>44124</v>
      </c>
      <c r="C282" s="1" t="n">
        <v>45812</v>
      </c>
      <c r="D282" t="inlineStr">
        <is>
          <t>KRONOBERGS LÄN</t>
        </is>
      </c>
      <c r="E282" t="inlineStr">
        <is>
          <t>LJUNGBY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54091-2020</t>
        </is>
      </c>
      <c r="B283" s="1" t="n">
        <v>44125</v>
      </c>
      <c r="C283" s="1" t="n">
        <v>45812</v>
      </c>
      <c r="D283" t="inlineStr">
        <is>
          <t>KRONOBERGS LÄN</t>
        </is>
      </c>
      <c r="E283" t="inlineStr">
        <is>
          <t>LJUNGBY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54087-2020</t>
        </is>
      </c>
      <c r="B284" s="1" t="n">
        <v>44125</v>
      </c>
      <c r="C284" s="1" t="n">
        <v>45812</v>
      </c>
      <c r="D284" t="inlineStr">
        <is>
          <t>KRONOBERGS LÄN</t>
        </is>
      </c>
      <c r="E284" t="inlineStr">
        <is>
          <t>LJUNGBY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54547-2020</t>
        </is>
      </c>
      <c r="B285" s="1" t="n">
        <v>44126</v>
      </c>
      <c r="C285" s="1" t="n">
        <v>45812</v>
      </c>
      <c r="D285" t="inlineStr">
        <is>
          <t>KRONOBERGS LÄN</t>
        </is>
      </c>
      <c r="E285" t="inlineStr">
        <is>
          <t>LJUNGBY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54696-2020</t>
        </is>
      </c>
      <c r="B286" s="1" t="n">
        <v>44127</v>
      </c>
      <c r="C286" s="1" t="n">
        <v>45812</v>
      </c>
      <c r="D286" t="inlineStr">
        <is>
          <t>KRONOBERGS LÄN</t>
        </is>
      </c>
      <c r="E286" t="inlineStr">
        <is>
          <t>LJUNGBY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54953-2020</t>
        </is>
      </c>
      <c r="B287" s="1" t="n">
        <v>44129</v>
      </c>
      <c r="C287" s="1" t="n">
        <v>45812</v>
      </c>
      <c r="D287" t="inlineStr">
        <is>
          <t>KRONOBERGS LÄN</t>
        </is>
      </c>
      <c r="E287" t="inlineStr">
        <is>
          <t>LJUNGBY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55282-2020</t>
        </is>
      </c>
      <c r="B288" s="1" t="n">
        <v>44130</v>
      </c>
      <c r="C288" s="1" t="n">
        <v>45812</v>
      </c>
      <c r="D288" t="inlineStr">
        <is>
          <t>KRONOBERGS LÄN</t>
        </is>
      </c>
      <c r="E288" t="inlineStr">
        <is>
          <t>LJUNGBY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56284-2020</t>
        </is>
      </c>
      <c r="B289" s="1" t="n">
        <v>44134</v>
      </c>
      <c r="C289" s="1" t="n">
        <v>45812</v>
      </c>
      <c r="D289" t="inlineStr">
        <is>
          <t>KRONOBERGS LÄN</t>
        </is>
      </c>
      <c r="E289" t="inlineStr">
        <is>
          <t>LJUNGBY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56708-2020</t>
        </is>
      </c>
      <c r="B290" s="1" t="n">
        <v>44137</v>
      </c>
      <c r="C290" s="1" t="n">
        <v>45812</v>
      </c>
      <c r="D290" t="inlineStr">
        <is>
          <t>KRONOBERGS LÄN</t>
        </is>
      </c>
      <c r="E290" t="inlineStr">
        <is>
          <t>LJUNGBY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57486-2020</t>
        </is>
      </c>
      <c r="B291" s="1" t="n">
        <v>44140</v>
      </c>
      <c r="C291" s="1" t="n">
        <v>45812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57484-2020</t>
        </is>
      </c>
      <c r="B292" s="1" t="n">
        <v>44140</v>
      </c>
      <c r="C292" s="1" t="n">
        <v>45812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57597-2020</t>
        </is>
      </c>
      <c r="B293" s="1" t="n">
        <v>44140</v>
      </c>
      <c r="C293" s="1" t="n">
        <v>45812</v>
      </c>
      <c r="D293" t="inlineStr">
        <is>
          <t>KRONOBERGS LÄN</t>
        </is>
      </c>
      <c r="E293" t="inlineStr">
        <is>
          <t>LJUNGBY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57995-2020</t>
        </is>
      </c>
      <c r="B294" s="1" t="n">
        <v>44144</v>
      </c>
      <c r="C294" s="1" t="n">
        <v>45812</v>
      </c>
      <c r="D294" t="inlineStr">
        <is>
          <t>KRONOBERGS LÄN</t>
        </is>
      </c>
      <c r="E294" t="inlineStr">
        <is>
          <t>LJUNGBY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58446-2020</t>
        </is>
      </c>
      <c r="B295" s="1" t="n">
        <v>44145</v>
      </c>
      <c r="C295" s="1" t="n">
        <v>45812</v>
      </c>
      <c r="D295" t="inlineStr">
        <is>
          <t>KRONOBERGS LÄN</t>
        </is>
      </c>
      <c r="E295" t="inlineStr">
        <is>
          <t>LJUNGBY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58449-2020</t>
        </is>
      </c>
      <c r="B296" s="1" t="n">
        <v>44145</v>
      </c>
      <c r="C296" s="1" t="n">
        <v>45812</v>
      </c>
      <c r="D296" t="inlineStr">
        <is>
          <t>KRONOBERGS LÄN</t>
        </is>
      </c>
      <c r="E296" t="inlineStr">
        <is>
          <t>LJUNGBY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58830-2020</t>
        </is>
      </c>
      <c r="B297" s="1" t="n">
        <v>44146</v>
      </c>
      <c r="C297" s="1" t="n">
        <v>45812</v>
      </c>
      <c r="D297" t="inlineStr">
        <is>
          <t>KRONOBERGS LÄN</t>
        </is>
      </c>
      <c r="E297" t="inlineStr">
        <is>
          <t>LJUNGBY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59018-2020</t>
        </is>
      </c>
      <c r="B298" s="1" t="n">
        <v>44146</v>
      </c>
      <c r="C298" s="1" t="n">
        <v>45812</v>
      </c>
      <c r="D298" t="inlineStr">
        <is>
          <t>KRONOBERGS LÄN</t>
        </is>
      </c>
      <c r="E298" t="inlineStr">
        <is>
          <t>LJUNGBY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58944-2020</t>
        </is>
      </c>
      <c r="B299" s="1" t="n">
        <v>44146</v>
      </c>
      <c r="C299" s="1" t="n">
        <v>45812</v>
      </c>
      <c r="D299" t="inlineStr">
        <is>
          <t>KRONOBERGS LÄN</t>
        </is>
      </c>
      <c r="E299" t="inlineStr">
        <is>
          <t>LJUNGBY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59279-2020</t>
        </is>
      </c>
      <c r="B300" s="1" t="n">
        <v>44147</v>
      </c>
      <c r="C300" s="1" t="n">
        <v>45812</v>
      </c>
      <c r="D300" t="inlineStr">
        <is>
          <t>KRONOBERGS LÄN</t>
        </is>
      </c>
      <c r="E300" t="inlineStr">
        <is>
          <t>LJUNGBY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59697-2020</t>
        </is>
      </c>
      <c r="B301" s="1" t="n">
        <v>44151</v>
      </c>
      <c r="C301" s="1" t="n">
        <v>45812</v>
      </c>
      <c r="D301" t="inlineStr">
        <is>
          <t>KRONOBERGS LÄN</t>
        </is>
      </c>
      <c r="E301" t="inlineStr">
        <is>
          <t>LJUNGBY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60335-2020</t>
        </is>
      </c>
      <c r="B302" s="1" t="n">
        <v>44152</v>
      </c>
      <c r="C302" s="1" t="n">
        <v>45812</v>
      </c>
      <c r="D302" t="inlineStr">
        <is>
          <t>KRONOBERGS LÄN</t>
        </is>
      </c>
      <c r="E302" t="inlineStr">
        <is>
          <t>LJUNGBY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60357-2020</t>
        </is>
      </c>
      <c r="B303" s="1" t="n">
        <v>44152</v>
      </c>
      <c r="C303" s="1" t="n">
        <v>45812</v>
      </c>
      <c r="D303" t="inlineStr">
        <is>
          <t>KRONOBERGS LÄN</t>
        </is>
      </c>
      <c r="E303" t="inlineStr">
        <is>
          <t>LJUNGBY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60160-2020</t>
        </is>
      </c>
      <c r="B304" s="1" t="n">
        <v>44152</v>
      </c>
      <c r="C304" s="1" t="n">
        <v>45812</v>
      </c>
      <c r="D304" t="inlineStr">
        <is>
          <t>KRONOBERGS LÄN</t>
        </is>
      </c>
      <c r="E304" t="inlineStr">
        <is>
          <t>LJUNGBY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60667-2020</t>
        </is>
      </c>
      <c r="B305" s="1" t="n">
        <v>44153</v>
      </c>
      <c r="C305" s="1" t="n">
        <v>45812</v>
      </c>
      <c r="D305" t="inlineStr">
        <is>
          <t>KRONOBERGS LÄN</t>
        </is>
      </c>
      <c r="E305" t="inlineStr">
        <is>
          <t>LJUNGBY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61058-2020</t>
        </is>
      </c>
      <c r="B306" s="1" t="n">
        <v>44154</v>
      </c>
      <c r="C306" s="1" t="n">
        <v>45812</v>
      </c>
      <c r="D306" t="inlineStr">
        <is>
          <t>KRONOBERGS LÄN</t>
        </is>
      </c>
      <c r="E306" t="inlineStr">
        <is>
          <t>LJUNGBY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61434-2020</t>
        </is>
      </c>
      <c r="B307" s="1" t="n">
        <v>44157</v>
      </c>
      <c r="C307" s="1" t="n">
        <v>45812</v>
      </c>
      <c r="D307" t="inlineStr">
        <is>
          <t>KRONOBERGS LÄN</t>
        </is>
      </c>
      <c r="E307" t="inlineStr">
        <is>
          <t>LJUNGBY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61675-2020</t>
        </is>
      </c>
      <c r="B308" s="1" t="n">
        <v>44158</v>
      </c>
      <c r="C308" s="1" t="n">
        <v>45812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62262-2020</t>
        </is>
      </c>
      <c r="B309" s="1" t="n">
        <v>44160</v>
      </c>
      <c r="C309" s="1" t="n">
        <v>45812</v>
      </c>
      <c r="D309" t="inlineStr">
        <is>
          <t>KRONOBERGS LÄN</t>
        </is>
      </c>
      <c r="E309" t="inlineStr">
        <is>
          <t>LJUNGBY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62283-2020</t>
        </is>
      </c>
      <c r="B310" s="1" t="n">
        <v>44160</v>
      </c>
      <c r="C310" s="1" t="n">
        <v>45812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62299-2020</t>
        </is>
      </c>
      <c r="B311" s="1" t="n">
        <v>44160</v>
      </c>
      <c r="C311" s="1" t="n">
        <v>45812</v>
      </c>
      <c r="D311" t="inlineStr">
        <is>
          <t>KRONOBERGS LÄN</t>
        </is>
      </c>
      <c r="E311" t="inlineStr">
        <is>
          <t>LJUNGBY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63586-2020</t>
        </is>
      </c>
      <c r="B312" s="1" t="n">
        <v>44165</v>
      </c>
      <c r="C312" s="1" t="n">
        <v>45812</v>
      </c>
      <c r="D312" t="inlineStr">
        <is>
          <t>KRONOBERGS LÄN</t>
        </is>
      </c>
      <c r="E312" t="inlineStr">
        <is>
          <t>LJUNGBY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63594-2020</t>
        </is>
      </c>
      <c r="B313" s="1" t="n">
        <v>44165</v>
      </c>
      <c r="C313" s="1" t="n">
        <v>45812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63588-2020</t>
        </is>
      </c>
      <c r="B314" s="1" t="n">
        <v>44165</v>
      </c>
      <c r="C314" s="1" t="n">
        <v>45812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64656-2020</t>
        </is>
      </c>
      <c r="B315" s="1" t="n">
        <v>44169</v>
      </c>
      <c r="C315" s="1" t="n">
        <v>45812</v>
      </c>
      <c r="D315" t="inlineStr">
        <is>
          <t>KRONOBERGS LÄN</t>
        </is>
      </c>
      <c r="E315" t="inlineStr">
        <is>
          <t>LJUNGBY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64662-2020</t>
        </is>
      </c>
      <c r="B316" s="1" t="n">
        <v>44169</v>
      </c>
      <c r="C316" s="1" t="n">
        <v>45812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64660-2020</t>
        </is>
      </c>
      <c r="B317" s="1" t="n">
        <v>44169</v>
      </c>
      <c r="C317" s="1" t="n">
        <v>45812</v>
      </c>
      <c r="D317" t="inlineStr">
        <is>
          <t>KRONOBERGS LÄN</t>
        </is>
      </c>
      <c r="E317" t="inlineStr">
        <is>
          <t>LJUNGBY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64659-2020</t>
        </is>
      </c>
      <c r="B318" s="1" t="n">
        <v>44169</v>
      </c>
      <c r="C318" s="1" t="n">
        <v>45812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65244-2020</t>
        </is>
      </c>
      <c r="B319" s="1" t="n">
        <v>44172</v>
      </c>
      <c r="C319" s="1" t="n">
        <v>45812</v>
      </c>
      <c r="D319" t="inlineStr">
        <is>
          <t>KRONOBERGS LÄN</t>
        </is>
      </c>
      <c r="E319" t="inlineStr">
        <is>
          <t>LJUNGBY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65989-2020</t>
        </is>
      </c>
      <c r="B320" s="1" t="n">
        <v>44173</v>
      </c>
      <c r="C320" s="1" t="n">
        <v>45812</v>
      </c>
      <c r="D320" t="inlineStr">
        <is>
          <t>KRONOBERGS LÄN</t>
        </is>
      </c>
      <c r="E320" t="inlineStr">
        <is>
          <t>LJUNGBY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65734-2020</t>
        </is>
      </c>
      <c r="B321" s="1" t="n">
        <v>44174</v>
      </c>
      <c r="C321" s="1" t="n">
        <v>45812</v>
      </c>
      <c r="D321" t="inlineStr">
        <is>
          <t>KRONOBERGS LÄN</t>
        </is>
      </c>
      <c r="E321" t="inlineStr">
        <is>
          <t>LJUNGBY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66137-2020</t>
        </is>
      </c>
      <c r="B322" s="1" t="n">
        <v>44175</v>
      </c>
      <c r="C322" s="1" t="n">
        <v>45812</v>
      </c>
      <c r="D322" t="inlineStr">
        <is>
          <t>KRONOBERGS LÄN</t>
        </is>
      </c>
      <c r="E322" t="inlineStr">
        <is>
          <t>LJUNGBY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66937-2020</t>
        </is>
      </c>
      <c r="B323" s="1" t="n">
        <v>44180</v>
      </c>
      <c r="C323" s="1" t="n">
        <v>45812</v>
      </c>
      <c r="D323" t="inlineStr">
        <is>
          <t>KRONOBERGS LÄN</t>
        </is>
      </c>
      <c r="E323" t="inlineStr">
        <is>
          <t>LJUNGBY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66942-2020</t>
        </is>
      </c>
      <c r="B324" s="1" t="n">
        <v>44180</v>
      </c>
      <c r="C324" s="1" t="n">
        <v>45812</v>
      </c>
      <c r="D324" t="inlineStr">
        <is>
          <t>KRONOBERGS LÄN</t>
        </is>
      </c>
      <c r="E324" t="inlineStr">
        <is>
          <t>LJUNGBY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67247-2020</t>
        </is>
      </c>
      <c r="B325" s="1" t="n">
        <v>44181</v>
      </c>
      <c r="C325" s="1" t="n">
        <v>45812</v>
      </c>
      <c r="D325" t="inlineStr">
        <is>
          <t>KRONOBERGS LÄN</t>
        </is>
      </c>
      <c r="E325" t="inlineStr">
        <is>
          <t>LJUNGBY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67346-2020</t>
        </is>
      </c>
      <c r="B326" s="1" t="n">
        <v>44181</v>
      </c>
      <c r="C326" s="1" t="n">
        <v>45812</v>
      </c>
      <c r="D326" t="inlineStr">
        <is>
          <t>KRONOBERGS LÄN</t>
        </is>
      </c>
      <c r="E326" t="inlineStr">
        <is>
          <t>LJUNGBY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67569-2020</t>
        </is>
      </c>
      <c r="B327" s="1" t="n">
        <v>44181</v>
      </c>
      <c r="C327" s="1" t="n">
        <v>45812</v>
      </c>
      <c r="D327" t="inlineStr">
        <is>
          <t>KRONOBERGS LÄN</t>
        </is>
      </c>
      <c r="E327" t="inlineStr">
        <is>
          <t>LJUNGBY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68337-2020</t>
        </is>
      </c>
      <c r="B328" s="1" t="n">
        <v>44186</v>
      </c>
      <c r="C328" s="1" t="n">
        <v>45812</v>
      </c>
      <c r="D328" t="inlineStr">
        <is>
          <t>KRONOBERGS LÄN</t>
        </is>
      </c>
      <c r="E328" t="inlineStr">
        <is>
          <t>LJUNGBY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68335-2020</t>
        </is>
      </c>
      <c r="B329" s="1" t="n">
        <v>44186</v>
      </c>
      <c r="C329" s="1" t="n">
        <v>45812</v>
      </c>
      <c r="D329" t="inlineStr">
        <is>
          <t>KRONOBERGS LÄN</t>
        </is>
      </c>
      <c r="E329" t="inlineStr">
        <is>
          <t>LJUNGBY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68336-2020</t>
        </is>
      </c>
      <c r="B330" s="1" t="n">
        <v>44186</v>
      </c>
      <c r="C330" s="1" t="n">
        <v>45812</v>
      </c>
      <c r="D330" t="inlineStr">
        <is>
          <t>KRONOBERGS LÄN</t>
        </is>
      </c>
      <c r="E330" t="inlineStr">
        <is>
          <t>LJUNGBY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68334-2020</t>
        </is>
      </c>
      <c r="B331" s="1" t="n">
        <v>44186</v>
      </c>
      <c r="C331" s="1" t="n">
        <v>45812</v>
      </c>
      <c r="D331" t="inlineStr">
        <is>
          <t>KRONOBERGS LÄN</t>
        </is>
      </c>
      <c r="E331" t="inlineStr">
        <is>
          <t>LJUNGBY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68804-2020</t>
        </is>
      </c>
      <c r="B332" s="1" t="n">
        <v>44187</v>
      </c>
      <c r="C332" s="1" t="n">
        <v>45812</v>
      </c>
      <c r="D332" t="inlineStr">
        <is>
          <t>KRONOBERGS LÄN</t>
        </is>
      </c>
      <c r="E332" t="inlineStr">
        <is>
          <t>LJUNGBY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68802-2020</t>
        </is>
      </c>
      <c r="B333" s="1" t="n">
        <v>44187</v>
      </c>
      <c r="C333" s="1" t="n">
        <v>45812</v>
      </c>
      <c r="D333" t="inlineStr">
        <is>
          <t>KRONOBERGS LÄN</t>
        </is>
      </c>
      <c r="E333" t="inlineStr">
        <is>
          <t>LJUNGBY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68940-2020</t>
        </is>
      </c>
      <c r="B334" s="1" t="n">
        <v>44187</v>
      </c>
      <c r="C334" s="1" t="n">
        <v>45812</v>
      </c>
      <c r="D334" t="inlineStr">
        <is>
          <t>KRONOBERGS LÄN</t>
        </is>
      </c>
      <c r="E334" t="inlineStr">
        <is>
          <t>LJUNGBY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69558-2020</t>
        </is>
      </c>
      <c r="B335" s="1" t="n">
        <v>44194</v>
      </c>
      <c r="C335" s="1" t="n">
        <v>45812</v>
      </c>
      <c r="D335" t="inlineStr">
        <is>
          <t>KRONOBERGS LÄN</t>
        </is>
      </c>
      <c r="E335" t="inlineStr">
        <is>
          <t>LJUNGBY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706-2021</t>
        </is>
      </c>
      <c r="B336" s="1" t="n">
        <v>44203</v>
      </c>
      <c r="C336" s="1" t="n">
        <v>45812</v>
      </c>
      <c r="D336" t="inlineStr">
        <is>
          <t>KRONOBERGS LÄN</t>
        </is>
      </c>
      <c r="E336" t="inlineStr">
        <is>
          <t>LJUNGBY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850-2021</t>
        </is>
      </c>
      <c r="B337" s="1" t="n">
        <v>44204</v>
      </c>
      <c r="C337" s="1" t="n">
        <v>45812</v>
      </c>
      <c r="D337" t="inlineStr">
        <is>
          <t>KRONOBERGS LÄN</t>
        </is>
      </c>
      <c r="E337" t="inlineStr">
        <is>
          <t>LJUNGBY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1548-2021</t>
        </is>
      </c>
      <c r="B338" s="1" t="n">
        <v>44209</v>
      </c>
      <c r="C338" s="1" t="n">
        <v>45812</v>
      </c>
      <c r="D338" t="inlineStr">
        <is>
          <t>KRONOBERGS LÄN</t>
        </is>
      </c>
      <c r="E338" t="inlineStr">
        <is>
          <t>LJUNGBY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2257-2021</t>
        </is>
      </c>
      <c r="B339" s="1" t="n">
        <v>44211</v>
      </c>
      <c r="C339" s="1" t="n">
        <v>45812</v>
      </c>
      <c r="D339" t="inlineStr">
        <is>
          <t>KRONOBERGS LÄN</t>
        </is>
      </c>
      <c r="E339" t="inlineStr">
        <is>
          <t>LJUNGBY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2277-2021</t>
        </is>
      </c>
      <c r="B340" s="1" t="n">
        <v>44211</v>
      </c>
      <c r="C340" s="1" t="n">
        <v>45812</v>
      </c>
      <c r="D340" t="inlineStr">
        <is>
          <t>KRONOBERGS LÄN</t>
        </is>
      </c>
      <c r="E340" t="inlineStr">
        <is>
          <t>LJUNGBY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3623-2021</t>
        </is>
      </c>
      <c r="B341" s="1" t="n">
        <v>44221</v>
      </c>
      <c r="C341" s="1" t="n">
        <v>45812</v>
      </c>
      <c r="D341" t="inlineStr">
        <is>
          <t>KRONOBERGS LÄN</t>
        </is>
      </c>
      <c r="E341" t="inlineStr">
        <is>
          <t>LJUNGBY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4636-2021</t>
        </is>
      </c>
      <c r="B342" s="1" t="n">
        <v>44224</v>
      </c>
      <c r="C342" s="1" t="n">
        <v>45812</v>
      </c>
      <c r="D342" t="inlineStr">
        <is>
          <t>KRONOBERGS LÄN</t>
        </is>
      </c>
      <c r="E342" t="inlineStr">
        <is>
          <t>LJUNGBY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4995-2021</t>
        </is>
      </c>
      <c r="B343" s="1" t="n">
        <v>44228</v>
      </c>
      <c r="C343" s="1" t="n">
        <v>45812</v>
      </c>
      <c r="D343" t="inlineStr">
        <is>
          <t>KRONOBERGS LÄN</t>
        </is>
      </c>
      <c r="E343" t="inlineStr">
        <is>
          <t>LJUNGBY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5119-2021</t>
        </is>
      </c>
      <c r="B344" s="1" t="n">
        <v>44228</v>
      </c>
      <c r="C344" s="1" t="n">
        <v>45812</v>
      </c>
      <c r="D344" t="inlineStr">
        <is>
          <t>KRONOBERGS LÄN</t>
        </is>
      </c>
      <c r="E344" t="inlineStr">
        <is>
          <t>LJUNGBY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5475-2021</t>
        </is>
      </c>
      <c r="B345" s="1" t="n">
        <v>44229</v>
      </c>
      <c r="C345" s="1" t="n">
        <v>45812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5474-2021</t>
        </is>
      </c>
      <c r="B346" s="1" t="n">
        <v>44229</v>
      </c>
      <c r="C346" s="1" t="n">
        <v>45812</v>
      </c>
      <c r="D346" t="inlineStr">
        <is>
          <t>KRONOBERGS LÄN</t>
        </is>
      </c>
      <c r="E346" t="inlineStr">
        <is>
          <t>LJUNGBY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5631-2021</t>
        </is>
      </c>
      <c r="B347" s="1" t="n">
        <v>44230</v>
      </c>
      <c r="C347" s="1" t="n">
        <v>45812</v>
      </c>
      <c r="D347" t="inlineStr">
        <is>
          <t>KRONOBERGS LÄN</t>
        </is>
      </c>
      <c r="E347" t="inlineStr">
        <is>
          <t>LJUNGBY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5627-2021</t>
        </is>
      </c>
      <c r="B348" s="1" t="n">
        <v>44230</v>
      </c>
      <c r="C348" s="1" t="n">
        <v>45812</v>
      </c>
      <c r="D348" t="inlineStr">
        <is>
          <t>KRONOBERGS LÄN</t>
        </is>
      </c>
      <c r="E348" t="inlineStr">
        <is>
          <t>LJUNGBY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5838-2021</t>
        </is>
      </c>
      <c r="B349" s="1" t="n">
        <v>44231</v>
      </c>
      <c r="C349" s="1" t="n">
        <v>45812</v>
      </c>
      <c r="D349" t="inlineStr">
        <is>
          <t>KRONOBERGS LÄN</t>
        </is>
      </c>
      <c r="E349" t="inlineStr">
        <is>
          <t>LJUNGBY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6453-2021</t>
        </is>
      </c>
      <c r="B350" s="1" t="n">
        <v>44235</v>
      </c>
      <c r="C350" s="1" t="n">
        <v>45812</v>
      </c>
      <c r="D350" t="inlineStr">
        <is>
          <t>KRONOBERGS LÄN</t>
        </is>
      </c>
      <c r="E350" t="inlineStr">
        <is>
          <t>LJUNGBY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6464-2021</t>
        </is>
      </c>
      <c r="B351" s="1" t="n">
        <v>44235</v>
      </c>
      <c r="C351" s="1" t="n">
        <v>45812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6931-2021</t>
        </is>
      </c>
      <c r="B352" s="1" t="n">
        <v>44237</v>
      </c>
      <c r="C352" s="1" t="n">
        <v>45812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8624-2021</t>
        </is>
      </c>
      <c r="B353" s="1" t="n">
        <v>44245</v>
      </c>
      <c r="C353" s="1" t="n">
        <v>45812</v>
      </c>
      <c r="D353" t="inlineStr">
        <is>
          <t>KRONOBERGS LÄN</t>
        </is>
      </c>
      <c r="E353" t="inlineStr">
        <is>
          <t>LJUNGBY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8622-2021</t>
        </is>
      </c>
      <c r="B354" s="1" t="n">
        <v>44245</v>
      </c>
      <c r="C354" s="1" t="n">
        <v>45812</v>
      </c>
      <c r="D354" t="inlineStr">
        <is>
          <t>KRONOBERGS LÄN</t>
        </is>
      </c>
      <c r="E354" t="inlineStr">
        <is>
          <t>LJUNGBY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8754-2021</t>
        </is>
      </c>
      <c r="B355" s="1" t="n">
        <v>44246</v>
      </c>
      <c r="C355" s="1" t="n">
        <v>45812</v>
      </c>
      <c r="D355" t="inlineStr">
        <is>
          <t>KRONOBERGS LÄN</t>
        </is>
      </c>
      <c r="E355" t="inlineStr">
        <is>
          <t>LJUNGBY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9528-2021</t>
        </is>
      </c>
      <c r="B356" s="1" t="n">
        <v>44251</v>
      </c>
      <c r="C356" s="1" t="n">
        <v>45812</v>
      </c>
      <c r="D356" t="inlineStr">
        <is>
          <t>KRONOBERGS LÄN</t>
        </is>
      </c>
      <c r="E356" t="inlineStr">
        <is>
          <t>LJUNGBY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9609-2021</t>
        </is>
      </c>
      <c r="B357" s="1" t="n">
        <v>44251</v>
      </c>
      <c r="C357" s="1" t="n">
        <v>45812</v>
      </c>
      <c r="D357" t="inlineStr">
        <is>
          <t>KRONOBERGS LÄN</t>
        </is>
      </c>
      <c r="E357" t="inlineStr">
        <is>
          <t>LJUNGBY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9974-2021</t>
        </is>
      </c>
      <c r="B358" s="1" t="n">
        <v>44253</v>
      </c>
      <c r="C358" s="1" t="n">
        <v>45812</v>
      </c>
      <c r="D358" t="inlineStr">
        <is>
          <t>KRONOBERGS LÄN</t>
        </is>
      </c>
      <c r="E358" t="inlineStr">
        <is>
          <t>LJUNGBY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10468-2021</t>
        </is>
      </c>
      <c r="B359" s="1" t="n">
        <v>44257</v>
      </c>
      <c r="C359" s="1" t="n">
        <v>45812</v>
      </c>
      <c r="D359" t="inlineStr">
        <is>
          <t>KRONOBERGS LÄN</t>
        </is>
      </c>
      <c r="E359" t="inlineStr">
        <is>
          <t>LJUNGBY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10516-2021</t>
        </is>
      </c>
      <c r="B360" s="1" t="n">
        <v>44258</v>
      </c>
      <c r="C360" s="1" t="n">
        <v>45812</v>
      </c>
      <c r="D360" t="inlineStr">
        <is>
          <t>KRONOBERGS LÄN</t>
        </is>
      </c>
      <c r="E360" t="inlineStr">
        <is>
          <t>LJUNGBY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10664-2021</t>
        </is>
      </c>
      <c r="B361" s="1" t="n">
        <v>44258</v>
      </c>
      <c r="C361" s="1" t="n">
        <v>45812</v>
      </c>
      <c r="D361" t="inlineStr">
        <is>
          <t>KRONOBERGS LÄN</t>
        </is>
      </c>
      <c r="E361" t="inlineStr">
        <is>
          <t>LJUNGBY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10667-2021</t>
        </is>
      </c>
      <c r="B362" s="1" t="n">
        <v>44258</v>
      </c>
      <c r="C362" s="1" t="n">
        <v>45812</v>
      </c>
      <c r="D362" t="inlineStr">
        <is>
          <t>KRONOBERGS LÄN</t>
        </is>
      </c>
      <c r="E362" t="inlineStr">
        <is>
          <t>LJUNGBY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10842-2021</t>
        </is>
      </c>
      <c r="B363" s="1" t="n">
        <v>44259</v>
      </c>
      <c r="C363" s="1" t="n">
        <v>45812</v>
      </c>
      <c r="D363" t="inlineStr">
        <is>
          <t>KRONOBERGS LÄN</t>
        </is>
      </c>
      <c r="E363" t="inlineStr">
        <is>
          <t>LJUNGBY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11128-2021</t>
        </is>
      </c>
      <c r="B364" s="1" t="n">
        <v>44260</v>
      </c>
      <c r="C364" s="1" t="n">
        <v>45812</v>
      </c>
      <c r="D364" t="inlineStr">
        <is>
          <t>KRONOBERGS LÄN</t>
        </is>
      </c>
      <c r="E364" t="inlineStr">
        <is>
          <t>LJUNGBY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11914-2021</t>
        </is>
      </c>
      <c r="B365" s="1" t="n">
        <v>44265</v>
      </c>
      <c r="C365" s="1" t="n">
        <v>45812</v>
      </c>
      <c r="D365" t="inlineStr">
        <is>
          <t>KRONOBERGS LÄN</t>
        </is>
      </c>
      <c r="E365" t="inlineStr">
        <is>
          <t>LJUNGBY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12131-2021</t>
        </is>
      </c>
      <c r="B366" s="1" t="n">
        <v>44266</v>
      </c>
      <c r="C366" s="1" t="n">
        <v>45812</v>
      </c>
      <c r="D366" t="inlineStr">
        <is>
          <t>KRONOBERGS LÄN</t>
        </is>
      </c>
      <c r="E366" t="inlineStr">
        <is>
          <t>LJUNGBY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12297-2021</t>
        </is>
      </c>
      <c r="B367" s="1" t="n">
        <v>44267</v>
      </c>
      <c r="C367" s="1" t="n">
        <v>45812</v>
      </c>
      <c r="D367" t="inlineStr">
        <is>
          <t>KRONOBERGS LÄN</t>
        </is>
      </c>
      <c r="E367" t="inlineStr">
        <is>
          <t>LJUNGBY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12449-2021</t>
        </is>
      </c>
      <c r="B368" s="1" t="n">
        <v>44267</v>
      </c>
      <c r="C368" s="1" t="n">
        <v>45812</v>
      </c>
      <c r="D368" t="inlineStr">
        <is>
          <t>KRONOBERGS LÄN</t>
        </is>
      </c>
      <c r="E368" t="inlineStr">
        <is>
          <t>LJUNGBY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45812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45812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45812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45812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45812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45812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45812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45812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45812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45812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45812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45812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45812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45812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45812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45812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45812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45812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45812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45812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45812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45812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45812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45812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45812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45812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45812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45812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45812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45812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45812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45812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45812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45812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45812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45812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45812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45812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45812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45812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45812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45812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45812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45812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45812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45812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45812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45812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45812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45812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45812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45812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45812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45812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45812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45812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45812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45812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45812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45812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45812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45812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45812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45812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45812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45812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45812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45812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45812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45812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45812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45812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45812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45812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45812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45812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45812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45812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45812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45812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45812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45812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45812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45812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45812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45812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45812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45812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45812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45812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45812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45812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45812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45812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45812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45812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45812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45812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45812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45812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45812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45812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45812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45812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45812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45812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45812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45812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45812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45812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45812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45812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45812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45812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45812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45812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45812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45812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45812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45812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45812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45812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45812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45812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45812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45812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45812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45812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45812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45812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45812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45812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45812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45812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45812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45812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45812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45812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45812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45812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45812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45812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45812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45812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45812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45812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45812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45812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45812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45812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45812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45812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45812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45812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45812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45812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45812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45812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45812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45812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45812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45812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45812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45812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45812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45812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45812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45812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45812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45812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45812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45812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45812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45812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45812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45812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45812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45812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45812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45812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45812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45812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45812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45812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45812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45812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45812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45812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45812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45812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45812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45812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45812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45812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45812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45812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45812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45812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45812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45812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45812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45812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45812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45812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45812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45812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45812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45812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45812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45812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45812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45812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45812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45812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45812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45812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45812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45812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45812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45812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45812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45812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45812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45812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45812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45812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45812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45812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45812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45812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45812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45812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45812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45812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45812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45812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45812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45812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45812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45812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45812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45812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45812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45812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45812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45812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45812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45812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45812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45812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45812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45812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45812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45812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45812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45812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45812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45812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45812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45812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45812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45812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45812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45812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45812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45812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45812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45812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45812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45812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45812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45812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45812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45812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45812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45812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45812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45812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45812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45812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45812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45812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45812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45812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45812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45812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45812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45812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45812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45812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45812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45812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45812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45812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45812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45812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45812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45812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45812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45812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45812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45812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45812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45812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45812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45812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45812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45812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45812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45812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45812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45812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45812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45812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45812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45812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45812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45812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45812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45812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45812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45812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45812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45812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45812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45812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45812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45812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45812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45812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45812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45812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45812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45812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45812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45812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45812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45812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45812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45812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45812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45812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45812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45812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45812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45812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45812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45812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45812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45812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45812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45812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45812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45812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45812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45812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45812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45812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45812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45812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45812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45812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45812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45812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45812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45812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45812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45812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45812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45812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45812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45812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45812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45812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45812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45812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45812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45812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45812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45812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45812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45812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45812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45812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45812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45812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45812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45812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45812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45812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45812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45812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45812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45812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45812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45812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45812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45812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45812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45812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45812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45812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45812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45812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45812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45812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45812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45812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45812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45812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45812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45812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45812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45812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45812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45812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45812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45812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45812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45812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45812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45812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45812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45812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45812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45812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45812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45812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45812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45812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45812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45812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45812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45812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45812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45812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45812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45812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45812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45812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45812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45812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45812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45812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45812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45812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45812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45812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45812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45812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45812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45812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45812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45812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45812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45812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45812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45812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45812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45812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45812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45812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45812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45812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45812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45812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45812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45812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45812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45812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45812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45812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45812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45812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45812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45812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45812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45812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45812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45812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45812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45812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45812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45812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45812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45812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45812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45812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45812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45812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45812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45812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45812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45812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45812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45812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45812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45812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45812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45812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45812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45812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45812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45812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45812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45812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45812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45812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45812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45812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45812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45812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45812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45812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45812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45812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45812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45812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45812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45812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45812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45812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45812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45812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45812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45812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45812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45812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45812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45812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45812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45812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45812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45812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45812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45812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45812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45812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45812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45812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45812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45812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45812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45812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45812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45812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45812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45812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45812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45812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45812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45812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45812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45812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45812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45812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45812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45812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45812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45812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45812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45812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45812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45812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45812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45812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45812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45812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45812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45812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45812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45812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45812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45812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45812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45812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45812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45812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45812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45812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45812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45812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45812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45812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45812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45812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45812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45812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45812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45812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45812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45812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45812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45812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45812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45812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45812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45812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45812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45812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45812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45812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45812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45812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45812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45812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45812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45812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45812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45812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45812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45812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45812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45812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45812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45812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45812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45812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45812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45812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45812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45812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45812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45812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45812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45812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45812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45812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45812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45812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45812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45812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45812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45812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45812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45812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45812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45812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45812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45812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45812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45812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45812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45812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45812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45812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45812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45812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45812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45812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45812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45812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45812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45812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45812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45812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45812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45812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45812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45812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45812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45812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45812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45812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45812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45812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45812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45812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45812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45812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45812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45812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45812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45812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45812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45812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45812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45812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45812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45812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45812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45812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45812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45812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45812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45812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45812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45812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45812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45812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45812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45812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45812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45812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45812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45812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45812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45812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45812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45812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45812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45812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45812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45812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45812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45812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45812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45812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45812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45812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45812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45812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45812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45812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45812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45812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45812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45812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45812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45812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45812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45812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45812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45812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45812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45812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45812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45812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45812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45812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45812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45812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45812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45812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45812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45812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45812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45812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45812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45812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45812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45812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45812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45812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45812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45812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45812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45812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45812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45812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45812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45812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45812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45812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45812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45812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45812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45812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45812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45812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45812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45812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45812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45812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45812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45812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45812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45812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45812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45812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45812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45812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45812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45812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45812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45812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45812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45812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45812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45812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45812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45812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45812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45812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45812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45812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45812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45812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45812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45812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45812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45812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45812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45812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45812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45812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45812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45812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45812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45812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45812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45812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45812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45812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45812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45812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45812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45812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45812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45812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45812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45812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45812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45812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45812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45812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45812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45812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45812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45812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45812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45812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45812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45812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45812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45812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45812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45812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45812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45812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45812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45812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45812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45812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45812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45812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45812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45812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45812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45812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45812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45812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45812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45812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45812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45812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45812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45812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45812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45812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45812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45812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45812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45812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45812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45812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45812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45812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45812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45812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45812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45812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45812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45812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45812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45812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45812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45812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45812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45812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45812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45812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45812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45812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45812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45812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45812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45812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45812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45812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45812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45812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45812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45812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45812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45812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45812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45812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45812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45812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45812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45812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45812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45812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45812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45812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45812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45812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45812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45812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45812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45812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45812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45812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45812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45812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45812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45812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45812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45812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45812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45812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45812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45812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45812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45812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45812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45812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45812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45812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45812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45812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45812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45812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45812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45812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45812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45812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45812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45812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45812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45812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45812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45812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45812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45812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45812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45812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45812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45812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45812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45812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45812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45812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45812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45812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45812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45812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45812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45812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45812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45812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45812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45812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45812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45812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45812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45812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45812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45812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45812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45812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45812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45812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45812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45812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45812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45812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45812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45812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45812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45812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45812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45812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45812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45812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45812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45812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45812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45812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45812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45812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45812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45812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45812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45812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45812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45812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45812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45812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45812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45812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45812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45812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45812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45812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45812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45812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45812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45812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45812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45812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45812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45812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45812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45812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45812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45812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45812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45812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45812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45812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45812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45812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45812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45812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45812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45812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45812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45812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45812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45812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45812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45812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45812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45812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45812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45812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45812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45812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45812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45812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45812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45812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45812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45812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45812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45812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45812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45812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45812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45812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45812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45812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45812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45812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45812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45812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45812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45812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45812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45812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45812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45812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45812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45812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45812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45812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45812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45812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45812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45812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45812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45812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45812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45812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45812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45812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45812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45812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45812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45812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45812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45812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45812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45812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45812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45812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45812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45812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45812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45812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45812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45812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45812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45812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45812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45812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45812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45812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45812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45812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45812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45812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45812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45812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45812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45812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45812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45812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45812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45812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45812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45812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45812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45812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45812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45812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45812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45812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45812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45812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45812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45812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45812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45812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45812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45812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45812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45812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45812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45812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45812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45812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45812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45812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45812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45812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45812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45812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45812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45812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45812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45812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45812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45812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45812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45812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45812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45812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45812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45812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45812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45812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45812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45812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45812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45812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45812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45812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45812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45812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45812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45812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45812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45812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45812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45812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45812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45812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45812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45812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45812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45812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45812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45812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45812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45812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45812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45812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45812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45812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45812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45812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45812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45812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45812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45812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45812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45812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45812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45812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45812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45812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45812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45812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45812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45812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45812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45812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45812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45812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45812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45812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45812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45812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45812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45812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45812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45812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45812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45812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45812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45812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45812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45812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45812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45812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45812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45812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45812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45812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45812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45812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45812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45812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45812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45812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45812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45812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45812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45812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45812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45812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45812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45812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45812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45812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45812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45812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45812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45812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45812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45812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45812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12787-2025</t>
        </is>
      </c>
      <c r="B1604" s="1" t="n">
        <v>45733</v>
      </c>
      <c r="C1604" s="1" t="n">
        <v>45812</v>
      </c>
      <c r="D1604" t="inlineStr">
        <is>
          <t>KRONOBERGS LÄN</t>
        </is>
      </c>
      <c r="E1604" t="inlineStr">
        <is>
          <t>LJUNGBY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45812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45812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45812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13132-2025</t>
        </is>
      </c>
      <c r="B1608" s="1" t="n">
        <v>45734</v>
      </c>
      <c r="C1608" s="1" t="n">
        <v>45812</v>
      </c>
      <c r="D1608" t="inlineStr">
        <is>
          <t>KRONOBERGS LÄN</t>
        </is>
      </c>
      <c r="E1608" t="inlineStr">
        <is>
          <t>LJUNGBY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45812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45812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45812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45812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45812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45812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45812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45812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14602-2025</t>
        </is>
      </c>
      <c r="B1617" s="1" t="n">
        <v>45742</v>
      </c>
      <c r="C1617" s="1" t="n">
        <v>45812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45812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45812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15361-2025</t>
        </is>
      </c>
      <c r="B1620" s="1" t="n">
        <v>45747</v>
      </c>
      <c r="C1620" s="1" t="n">
        <v>45812</v>
      </c>
      <c r="D1620" t="inlineStr">
        <is>
          <t>KRONOBERGS LÄN</t>
        </is>
      </c>
      <c r="E1620" t="inlineStr">
        <is>
          <t>LJUNGBY</t>
        </is>
      </c>
      <c r="F1620" t="inlineStr">
        <is>
          <t>Sveaskog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15358-2025</t>
        </is>
      </c>
      <c r="B1621" s="1" t="n">
        <v>45747</v>
      </c>
      <c r="C1621" s="1" t="n">
        <v>45812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15364-2025</t>
        </is>
      </c>
      <c r="B1622" s="1" t="n">
        <v>45747</v>
      </c>
      <c r="C1622" s="1" t="n">
        <v>45812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15359-2025</t>
        </is>
      </c>
      <c r="B1623" s="1" t="n">
        <v>45747</v>
      </c>
      <c r="C1623" s="1" t="n">
        <v>45812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15581-2025</t>
        </is>
      </c>
      <c r="B1624" s="1" t="n">
        <v>45747</v>
      </c>
      <c r="C1624" s="1" t="n">
        <v>45812</v>
      </c>
      <c r="D1624" t="inlineStr">
        <is>
          <t>KRONOBERGS LÄN</t>
        </is>
      </c>
      <c r="E1624" t="inlineStr">
        <is>
          <t>LJUNGBY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15573-2025</t>
        </is>
      </c>
      <c r="B1625" s="1" t="n">
        <v>45747</v>
      </c>
      <c r="C1625" s="1" t="n">
        <v>45812</v>
      </c>
      <c r="D1625" t="inlineStr">
        <is>
          <t>KRONOBERGS LÄN</t>
        </is>
      </c>
      <c r="E1625" t="inlineStr">
        <is>
          <t>LJUNGBY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15571-2025</t>
        </is>
      </c>
      <c r="B1626" s="1" t="n">
        <v>45747</v>
      </c>
      <c r="C1626" s="1" t="n">
        <v>45812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15576-2025</t>
        </is>
      </c>
      <c r="B1627" s="1" t="n">
        <v>45747</v>
      </c>
      <c r="C1627" s="1" t="n">
        <v>45812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45812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15836-2025</t>
        </is>
      </c>
      <c r="B1629" s="1" t="n">
        <v>45748</v>
      </c>
      <c r="C1629" s="1" t="n">
        <v>45812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15837-2025</t>
        </is>
      </c>
      <c r="B1630" s="1" t="n">
        <v>45748</v>
      </c>
      <c r="C1630" s="1" t="n">
        <v>45812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15847-2025</t>
        </is>
      </c>
      <c r="B1631" s="1" t="n">
        <v>45748</v>
      </c>
      <c r="C1631" s="1" t="n">
        <v>45812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15849-2025</t>
        </is>
      </c>
      <c r="B1632" s="1" t="n">
        <v>45748</v>
      </c>
      <c r="C1632" s="1" t="n">
        <v>45812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15774-2025</t>
        </is>
      </c>
      <c r="B1633" s="1" t="n">
        <v>45748</v>
      </c>
      <c r="C1633" s="1" t="n">
        <v>45812</v>
      </c>
      <c r="D1633" t="inlineStr">
        <is>
          <t>KRONOBERGS LÄN</t>
        </is>
      </c>
      <c r="E1633" t="inlineStr">
        <is>
          <t>LJUNGBY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15960-2025</t>
        </is>
      </c>
      <c r="B1634" s="1" t="n">
        <v>45749</v>
      </c>
      <c r="C1634" s="1" t="n">
        <v>45812</v>
      </c>
      <c r="D1634" t="inlineStr">
        <is>
          <t>KRONOBERGS LÄN</t>
        </is>
      </c>
      <c r="E1634" t="inlineStr">
        <is>
          <t>LJUNGBY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45812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15979-2025</t>
        </is>
      </c>
      <c r="B1636" s="1" t="n">
        <v>45749</v>
      </c>
      <c r="C1636" s="1" t="n">
        <v>45812</v>
      </c>
      <c r="D1636" t="inlineStr">
        <is>
          <t>KRONOBERGS LÄN</t>
        </is>
      </c>
      <c r="E1636" t="inlineStr">
        <is>
          <t>LJUNGBY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45812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45812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16758-2025</t>
        </is>
      </c>
      <c r="B1639" s="1" t="n">
        <v>45754</v>
      </c>
      <c r="C1639" s="1" t="n">
        <v>45812</v>
      </c>
      <c r="D1639" t="inlineStr">
        <is>
          <t>KRONOBERGS LÄN</t>
        </is>
      </c>
      <c r="E1639" t="inlineStr">
        <is>
          <t>LJUNGBY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16728-2025</t>
        </is>
      </c>
      <c r="B1640" s="1" t="n">
        <v>45754</v>
      </c>
      <c r="C1640" s="1" t="n">
        <v>45812</v>
      </c>
      <c r="D1640" t="inlineStr">
        <is>
          <t>KRONOBERGS LÄN</t>
        </is>
      </c>
      <c r="E1640" t="inlineStr">
        <is>
          <t>LJUNGBY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16730-2025</t>
        </is>
      </c>
      <c r="B1641" s="1" t="n">
        <v>45754</v>
      </c>
      <c r="C1641" s="1" t="n">
        <v>45812</v>
      </c>
      <c r="D1641" t="inlineStr">
        <is>
          <t>KRONOBERGS LÄN</t>
        </is>
      </c>
      <c r="E1641" t="inlineStr">
        <is>
          <t>LJUNGBY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16648-2025</t>
        </is>
      </c>
      <c r="B1642" s="1" t="n">
        <v>45754</v>
      </c>
      <c r="C1642" s="1" t="n">
        <v>45812</v>
      </c>
      <c r="D1642" t="inlineStr">
        <is>
          <t>KRONOBERGS LÄN</t>
        </is>
      </c>
      <c r="E1642" t="inlineStr">
        <is>
          <t>LJUNGBY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16727-2025</t>
        </is>
      </c>
      <c r="B1643" s="1" t="n">
        <v>45754</v>
      </c>
      <c r="C1643" s="1" t="n">
        <v>45812</v>
      </c>
      <c r="D1643" t="inlineStr">
        <is>
          <t>KRONOBERGS LÄN</t>
        </is>
      </c>
      <c r="E1643" t="inlineStr">
        <is>
          <t>LJUNGBY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16754-2025</t>
        </is>
      </c>
      <c r="B1644" s="1" t="n">
        <v>45754</v>
      </c>
      <c r="C1644" s="1" t="n">
        <v>45812</v>
      </c>
      <c r="D1644" t="inlineStr">
        <is>
          <t>KRONOBERGS LÄN</t>
        </is>
      </c>
      <c r="E1644" t="inlineStr">
        <is>
          <t>LJUNGBY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45812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17146-2025</t>
        </is>
      </c>
      <c r="B1646" s="1" t="n">
        <v>45756</v>
      </c>
      <c r="C1646" s="1" t="n">
        <v>45812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17145-2025</t>
        </is>
      </c>
      <c r="B1647" s="1" t="n">
        <v>45756</v>
      </c>
      <c r="C1647" s="1" t="n">
        <v>45812</v>
      </c>
      <c r="D1647" t="inlineStr">
        <is>
          <t>KRONOBERGS LÄN</t>
        </is>
      </c>
      <c r="E1647" t="inlineStr">
        <is>
          <t>LJUNGBY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17656-2025</t>
        </is>
      </c>
      <c r="B1648" s="1" t="n">
        <v>45757</v>
      </c>
      <c r="C1648" s="1" t="n">
        <v>45812</v>
      </c>
      <c r="D1648" t="inlineStr">
        <is>
          <t>KRONOBERGS LÄN</t>
        </is>
      </c>
      <c r="E1648" t="inlineStr">
        <is>
          <t>LJUNGBY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17625-2025</t>
        </is>
      </c>
      <c r="B1649" s="1" t="n">
        <v>45758</v>
      </c>
      <c r="C1649" s="1" t="n">
        <v>45812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17626-2025</t>
        </is>
      </c>
      <c r="B1650" s="1" t="n">
        <v>45758</v>
      </c>
      <c r="C1650" s="1" t="n">
        <v>45812</v>
      </c>
      <c r="D1650" t="inlineStr">
        <is>
          <t>KRONOBERGS LÄN</t>
        </is>
      </c>
      <c r="E1650" t="inlineStr">
        <is>
          <t>LJUNGBY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17627-2025</t>
        </is>
      </c>
      <c r="B1651" s="1" t="n">
        <v>45758</v>
      </c>
      <c r="C1651" s="1" t="n">
        <v>45812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17910-2025</t>
        </is>
      </c>
      <c r="B1652" s="1" t="n">
        <v>45758</v>
      </c>
      <c r="C1652" s="1" t="n">
        <v>45812</v>
      </c>
      <c r="D1652" t="inlineStr">
        <is>
          <t>KRONOBERGS LÄN</t>
        </is>
      </c>
      <c r="E1652" t="inlineStr">
        <is>
          <t>LJUNGBY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17909-2025</t>
        </is>
      </c>
      <c r="B1653" s="1" t="n">
        <v>45758</v>
      </c>
      <c r="C1653" s="1" t="n">
        <v>45812</v>
      </c>
      <c r="D1653" t="inlineStr">
        <is>
          <t>KRONOBERGS LÄN</t>
        </is>
      </c>
      <c r="E1653" t="inlineStr">
        <is>
          <t>LJUNGBY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17906-2025</t>
        </is>
      </c>
      <c r="B1654" s="1" t="n">
        <v>45758</v>
      </c>
      <c r="C1654" s="1" t="n">
        <v>45812</v>
      </c>
      <c r="D1654" t="inlineStr">
        <is>
          <t>KRONOBERGS LÄN</t>
        </is>
      </c>
      <c r="E1654" t="inlineStr">
        <is>
          <t>LJUNGBY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18233-2025</t>
        </is>
      </c>
      <c r="B1655" s="1" t="n">
        <v>45761</v>
      </c>
      <c r="C1655" s="1" t="n">
        <v>45812</v>
      </c>
      <c r="D1655" t="inlineStr">
        <is>
          <t>KRONOBERGS LÄN</t>
        </is>
      </c>
      <c r="E1655" t="inlineStr">
        <is>
          <t>LJUNGBY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18403-2025</t>
        </is>
      </c>
      <c r="B1656" s="1" t="n">
        <v>45762</v>
      </c>
      <c r="C1656" s="1" t="n">
        <v>45812</v>
      </c>
      <c r="D1656" t="inlineStr">
        <is>
          <t>KRONOBERGS LÄN</t>
        </is>
      </c>
      <c r="E1656" t="inlineStr">
        <is>
          <t>LJUNGBY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18343-2025</t>
        </is>
      </c>
      <c r="B1657" s="1" t="n">
        <v>45762</v>
      </c>
      <c r="C1657" s="1" t="n">
        <v>45812</v>
      </c>
      <c r="D1657" t="inlineStr">
        <is>
          <t>KRONOBERGS LÄN</t>
        </is>
      </c>
      <c r="E1657" t="inlineStr">
        <is>
          <t>LJUNGBY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18758-2025</t>
        </is>
      </c>
      <c r="B1658" s="1" t="n">
        <v>45763</v>
      </c>
      <c r="C1658" s="1" t="n">
        <v>45812</v>
      </c>
      <c r="D1658" t="inlineStr">
        <is>
          <t>KRONOBERGS LÄN</t>
        </is>
      </c>
      <c r="E1658" t="inlineStr">
        <is>
          <t>LJUNGBY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18933-2025</t>
        </is>
      </c>
      <c r="B1659" s="1" t="n">
        <v>45764</v>
      </c>
      <c r="C1659" s="1" t="n">
        <v>45812</v>
      </c>
      <c r="D1659" t="inlineStr">
        <is>
          <t>KRONOBERGS LÄN</t>
        </is>
      </c>
      <c r="E1659" t="inlineStr">
        <is>
          <t>LJUNGBY</t>
        </is>
      </c>
      <c r="G1659" t="n">
        <v>0.3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18931-2025</t>
        </is>
      </c>
      <c r="B1660" s="1" t="n">
        <v>45764</v>
      </c>
      <c r="C1660" s="1" t="n">
        <v>45812</v>
      </c>
      <c r="D1660" t="inlineStr">
        <is>
          <t>KRONOBERGS LÄN</t>
        </is>
      </c>
      <c r="E1660" t="inlineStr">
        <is>
          <t>LJUNGBY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18961-2025</t>
        </is>
      </c>
      <c r="B1661" s="1" t="n">
        <v>45764</v>
      </c>
      <c r="C1661" s="1" t="n">
        <v>45812</v>
      </c>
      <c r="D1661" t="inlineStr">
        <is>
          <t>KRONOBERGS LÄN</t>
        </is>
      </c>
      <c r="E1661" t="inlineStr">
        <is>
          <t>LJUNGBY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19143-2025</t>
        </is>
      </c>
      <c r="B1662" s="1" t="n">
        <v>45769</v>
      </c>
      <c r="C1662" s="1" t="n">
        <v>45812</v>
      </c>
      <c r="D1662" t="inlineStr">
        <is>
          <t>KRONOBERGS LÄN</t>
        </is>
      </c>
      <c r="E1662" t="inlineStr">
        <is>
          <t>LJUNGBY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19154-2025</t>
        </is>
      </c>
      <c r="B1663" s="1" t="n">
        <v>45769</v>
      </c>
      <c r="C1663" s="1" t="n">
        <v>45812</v>
      </c>
      <c r="D1663" t="inlineStr">
        <is>
          <t>KRONOBERGS LÄN</t>
        </is>
      </c>
      <c r="E1663" t="inlineStr">
        <is>
          <t>LJUNGBY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20182-2025</t>
        </is>
      </c>
      <c r="B1664" s="1" t="n">
        <v>45772</v>
      </c>
      <c r="C1664" s="1" t="n">
        <v>45812</v>
      </c>
      <c r="D1664" t="inlineStr">
        <is>
          <t>KRONOBERGS LÄN</t>
        </is>
      </c>
      <c r="E1664" t="inlineStr">
        <is>
          <t>LJUNGBY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20264-2025</t>
        </is>
      </c>
      <c r="B1665" s="1" t="n">
        <v>45773</v>
      </c>
      <c r="C1665" s="1" t="n">
        <v>45812</v>
      </c>
      <c r="D1665" t="inlineStr">
        <is>
          <t>KRONOBERGS LÄN</t>
        </is>
      </c>
      <c r="E1665" t="inlineStr">
        <is>
          <t>LJUNGBY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20608-2025</t>
        </is>
      </c>
      <c r="B1666" s="1" t="n">
        <v>45775</v>
      </c>
      <c r="C1666" s="1" t="n">
        <v>45812</v>
      </c>
      <c r="D1666" t="inlineStr">
        <is>
          <t>KRONOBERGS LÄN</t>
        </is>
      </c>
      <c r="E1666" t="inlineStr">
        <is>
          <t>LJUNGBY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20607-2025</t>
        </is>
      </c>
      <c r="B1667" s="1" t="n">
        <v>45775</v>
      </c>
      <c r="C1667" s="1" t="n">
        <v>45812</v>
      </c>
      <c r="D1667" t="inlineStr">
        <is>
          <t>KRONOBERGS LÄN</t>
        </is>
      </c>
      <c r="E1667" t="inlineStr">
        <is>
          <t>LJUNGBY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20520-2025</t>
        </is>
      </c>
      <c r="B1668" s="1" t="n">
        <v>45775</v>
      </c>
      <c r="C1668" s="1" t="n">
        <v>45812</v>
      </c>
      <c r="D1668" t="inlineStr">
        <is>
          <t>KRONOBERGS LÄN</t>
        </is>
      </c>
      <c r="E1668" t="inlineStr">
        <is>
          <t>LJUNGBY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20502-2025</t>
        </is>
      </c>
      <c r="B1669" s="1" t="n">
        <v>45775</v>
      </c>
      <c r="C1669" s="1" t="n">
        <v>45812</v>
      </c>
      <c r="D1669" t="inlineStr">
        <is>
          <t>KRONOBERGS LÄN</t>
        </is>
      </c>
      <c r="E1669" t="inlineStr">
        <is>
          <t>LJUNGBY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20365-2025</t>
        </is>
      </c>
      <c r="B1670" s="1" t="n">
        <v>45775</v>
      </c>
      <c r="C1670" s="1" t="n">
        <v>45812</v>
      </c>
      <c r="D1670" t="inlineStr">
        <is>
          <t>KRONOBERGS LÄN</t>
        </is>
      </c>
      <c r="E1670" t="inlineStr">
        <is>
          <t>LJUNGBY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20524-2025</t>
        </is>
      </c>
      <c r="B1671" s="1" t="n">
        <v>45775</v>
      </c>
      <c r="C1671" s="1" t="n">
        <v>45812</v>
      </c>
      <c r="D1671" t="inlineStr">
        <is>
          <t>KRONOBERGS LÄN</t>
        </is>
      </c>
      <c r="E1671" t="inlineStr">
        <is>
          <t>LJUNGBY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21087-2025</t>
        </is>
      </c>
      <c r="B1672" s="1" t="n">
        <v>45777</v>
      </c>
      <c r="C1672" s="1" t="n">
        <v>45812</v>
      </c>
      <c r="D1672" t="inlineStr">
        <is>
          <t>KRONOBERGS LÄN</t>
        </is>
      </c>
      <c r="E1672" t="inlineStr">
        <is>
          <t>LJUNGBY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21115-2025</t>
        </is>
      </c>
      <c r="B1673" s="1" t="n">
        <v>45777</v>
      </c>
      <c r="C1673" s="1" t="n">
        <v>45812</v>
      </c>
      <c r="D1673" t="inlineStr">
        <is>
          <t>KRONOBERGS LÄN</t>
        </is>
      </c>
      <c r="E1673" t="inlineStr">
        <is>
          <t>LJUNGBY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21119-2025</t>
        </is>
      </c>
      <c r="B1674" s="1" t="n">
        <v>45777</v>
      </c>
      <c r="C1674" s="1" t="n">
        <v>45812</v>
      </c>
      <c r="D1674" t="inlineStr">
        <is>
          <t>KRONOBERGS LÄN</t>
        </is>
      </c>
      <c r="E1674" t="inlineStr">
        <is>
          <t>LJUNGBY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21317-2025</t>
        </is>
      </c>
      <c r="B1675" s="1" t="n">
        <v>45782</v>
      </c>
      <c r="C1675" s="1" t="n">
        <v>45812</v>
      </c>
      <c r="D1675" t="inlineStr">
        <is>
          <t>KRONOBERGS LÄN</t>
        </is>
      </c>
      <c r="E1675" t="inlineStr">
        <is>
          <t>LJUNGBY</t>
        </is>
      </c>
      <c r="F1675" t="inlineStr">
        <is>
          <t>Sveaskog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21788-2025</t>
        </is>
      </c>
      <c r="B1676" s="1" t="n">
        <v>45783</v>
      </c>
      <c r="C1676" s="1" t="n">
        <v>45812</v>
      </c>
      <c r="D1676" t="inlineStr">
        <is>
          <t>KRONOBERGS LÄN</t>
        </is>
      </c>
      <c r="E1676" t="inlineStr">
        <is>
          <t>LJUNGBY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21805-2025</t>
        </is>
      </c>
      <c r="B1677" s="1" t="n">
        <v>45783</v>
      </c>
      <c r="C1677" s="1" t="n">
        <v>45812</v>
      </c>
      <c r="D1677" t="inlineStr">
        <is>
          <t>KRONOBERGS LÄN</t>
        </is>
      </c>
      <c r="E1677" t="inlineStr">
        <is>
          <t>LJUNGBY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21813-2025</t>
        </is>
      </c>
      <c r="B1678" s="1" t="n">
        <v>45783</v>
      </c>
      <c r="C1678" s="1" t="n">
        <v>45812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21817-2025</t>
        </is>
      </c>
      <c r="B1679" s="1" t="n">
        <v>45783</v>
      </c>
      <c r="C1679" s="1" t="n">
        <v>45812</v>
      </c>
      <c r="D1679" t="inlineStr">
        <is>
          <t>KRONOBERGS LÄN</t>
        </is>
      </c>
      <c r="E1679" t="inlineStr">
        <is>
          <t>LJUNGBY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21807-2025</t>
        </is>
      </c>
      <c r="B1680" s="1" t="n">
        <v>45783</v>
      </c>
      <c r="C1680" s="1" t="n">
        <v>45812</v>
      </c>
      <c r="D1680" t="inlineStr">
        <is>
          <t>KRONOBERGS LÄN</t>
        </is>
      </c>
      <c r="E1680" t="inlineStr">
        <is>
          <t>LJUNGBY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21815-2025</t>
        </is>
      </c>
      <c r="B1681" s="1" t="n">
        <v>45783</v>
      </c>
      <c r="C1681" s="1" t="n">
        <v>45812</v>
      </c>
      <c r="D1681" t="inlineStr">
        <is>
          <t>KRONOBERGS LÄN</t>
        </is>
      </c>
      <c r="E1681" t="inlineStr">
        <is>
          <t>LJUNGBY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21816-2025</t>
        </is>
      </c>
      <c r="B1682" s="1" t="n">
        <v>45783</v>
      </c>
      <c r="C1682" s="1" t="n">
        <v>45812</v>
      </c>
      <c r="D1682" t="inlineStr">
        <is>
          <t>KRONOBERGS LÄN</t>
        </is>
      </c>
      <c r="E1682" t="inlineStr">
        <is>
          <t>LJUNGBY</t>
        </is>
      </c>
      <c r="G1682" t="n">
        <v>0.3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21819-2025</t>
        </is>
      </c>
      <c r="B1683" s="1" t="n">
        <v>45783</v>
      </c>
      <c r="C1683" s="1" t="n">
        <v>45812</v>
      </c>
      <c r="D1683" t="inlineStr">
        <is>
          <t>KRONOBERGS LÄN</t>
        </is>
      </c>
      <c r="E1683" t="inlineStr">
        <is>
          <t>LJUNGBY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21809-2025</t>
        </is>
      </c>
      <c r="B1684" s="1" t="n">
        <v>45783</v>
      </c>
      <c r="C1684" s="1" t="n">
        <v>45812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22012-2025</t>
        </is>
      </c>
      <c r="B1685" s="1" t="n">
        <v>45784</v>
      </c>
      <c r="C1685" s="1" t="n">
        <v>45812</v>
      </c>
      <c r="D1685" t="inlineStr">
        <is>
          <t>KRONOBERGS LÄN</t>
        </is>
      </c>
      <c r="E1685" t="inlineStr">
        <is>
          <t>LJUNGBY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22011-2025</t>
        </is>
      </c>
      <c r="B1686" s="1" t="n">
        <v>45784</v>
      </c>
      <c r="C1686" s="1" t="n">
        <v>45812</v>
      </c>
      <c r="D1686" t="inlineStr">
        <is>
          <t>KRONOBERGS LÄN</t>
        </is>
      </c>
      <c r="E1686" t="inlineStr">
        <is>
          <t>LJUNGBY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22013-2025</t>
        </is>
      </c>
      <c r="B1687" s="1" t="n">
        <v>45784</v>
      </c>
      <c r="C1687" s="1" t="n">
        <v>45812</v>
      </c>
      <c r="D1687" t="inlineStr">
        <is>
          <t>KRONOBERGS LÄN</t>
        </is>
      </c>
      <c r="E1687" t="inlineStr">
        <is>
          <t>LJUNGBY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22817-2025</t>
        </is>
      </c>
      <c r="B1688" s="1" t="n">
        <v>45789</v>
      </c>
      <c r="C1688" s="1" t="n">
        <v>45812</v>
      </c>
      <c r="D1688" t="inlineStr">
        <is>
          <t>KRONOBERGS LÄN</t>
        </is>
      </c>
      <c r="E1688" t="inlineStr">
        <is>
          <t>LJUNGBY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23401-2025</t>
        </is>
      </c>
      <c r="B1689" s="1" t="n">
        <v>45792</v>
      </c>
      <c r="C1689" s="1" t="n">
        <v>45812</v>
      </c>
      <c r="D1689" t="inlineStr">
        <is>
          <t>KRONOBERGS LÄN</t>
        </is>
      </c>
      <c r="E1689" t="inlineStr">
        <is>
          <t>LJUNGBY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23398-2025</t>
        </is>
      </c>
      <c r="B1690" s="1" t="n">
        <v>45792</v>
      </c>
      <c r="C1690" s="1" t="n">
        <v>45812</v>
      </c>
      <c r="D1690" t="inlineStr">
        <is>
          <t>KRONOBERGS LÄN</t>
        </is>
      </c>
      <c r="E1690" t="inlineStr">
        <is>
          <t>LJUNGBY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45812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23808-2025</t>
        </is>
      </c>
      <c r="B1692" s="1" t="n">
        <v>45793</v>
      </c>
      <c r="C1692" s="1" t="n">
        <v>45812</v>
      </c>
      <c r="D1692" t="inlineStr">
        <is>
          <t>KRONOBERGS LÄN</t>
        </is>
      </c>
      <c r="E1692" t="inlineStr">
        <is>
          <t>LJUNGBY</t>
        </is>
      </c>
      <c r="G1692" t="n">
        <v>5.9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23857-2025</t>
        </is>
      </c>
      <c r="B1693" s="1" t="n">
        <v>45793</v>
      </c>
      <c r="C1693" s="1" t="n">
        <v>45812</v>
      </c>
      <c r="D1693" t="inlineStr">
        <is>
          <t>KRONOBERGS LÄN</t>
        </is>
      </c>
      <c r="E1693" t="inlineStr">
        <is>
          <t>LJUNGBY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23869-2025</t>
        </is>
      </c>
      <c r="B1694" s="1" t="n">
        <v>45793</v>
      </c>
      <c r="C1694" s="1" t="n">
        <v>45812</v>
      </c>
      <c r="D1694" t="inlineStr">
        <is>
          <t>KRONOBERGS LÄN</t>
        </is>
      </c>
      <c r="E1694" t="inlineStr">
        <is>
          <t>LJUNGBY</t>
        </is>
      </c>
      <c r="G1694" t="n">
        <v>4.6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24108-2025</t>
        </is>
      </c>
      <c r="B1695" s="1" t="n">
        <v>45796</v>
      </c>
      <c r="C1695" s="1" t="n">
        <v>45812</v>
      </c>
      <c r="D1695" t="inlineStr">
        <is>
          <t>KRONOBERGS LÄN</t>
        </is>
      </c>
      <c r="E1695" t="inlineStr">
        <is>
          <t>LJUNGBY</t>
        </is>
      </c>
      <c r="F1695" t="inlineStr">
        <is>
          <t>Sveaskog</t>
        </is>
      </c>
      <c r="G1695" t="n">
        <v>5.9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23960-2025</t>
        </is>
      </c>
      <c r="B1696" s="1" t="n">
        <v>45796</v>
      </c>
      <c r="C1696" s="1" t="n">
        <v>45812</v>
      </c>
      <c r="D1696" t="inlineStr">
        <is>
          <t>KRONOBERGS LÄN</t>
        </is>
      </c>
      <c r="E1696" t="inlineStr">
        <is>
          <t>LJUNGBY</t>
        </is>
      </c>
      <c r="F1696" t="inlineStr">
        <is>
          <t>Sveaskog</t>
        </is>
      </c>
      <c r="G1696" t="n">
        <v>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24084-2025</t>
        </is>
      </c>
      <c r="B1697" s="1" t="n">
        <v>45796</v>
      </c>
      <c r="C1697" s="1" t="n">
        <v>45812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23980-2025</t>
        </is>
      </c>
      <c r="B1698" s="1" t="n">
        <v>45796</v>
      </c>
      <c r="C1698" s="1" t="n">
        <v>45812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5.3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24080-2025</t>
        </is>
      </c>
      <c r="B1699" s="1" t="n">
        <v>45796</v>
      </c>
      <c r="C1699" s="1" t="n">
        <v>45812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6.2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23973-2025</t>
        </is>
      </c>
      <c r="B1700" s="1" t="n">
        <v>45796</v>
      </c>
      <c r="C1700" s="1" t="n">
        <v>45812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4.8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24089-2025</t>
        </is>
      </c>
      <c r="B1701" s="1" t="n">
        <v>45796</v>
      </c>
      <c r="C1701" s="1" t="n">
        <v>45812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24097-2025</t>
        </is>
      </c>
      <c r="B1702" s="1" t="n">
        <v>45796</v>
      </c>
      <c r="C1702" s="1" t="n">
        <v>45812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24565-2025</t>
        </is>
      </c>
      <c r="B1703" s="1" t="n">
        <v>45797</v>
      </c>
      <c r="C1703" s="1" t="n">
        <v>45812</v>
      </c>
      <c r="D1703" t="inlineStr">
        <is>
          <t>KRONOBERGS LÄN</t>
        </is>
      </c>
      <c r="E1703" t="inlineStr">
        <is>
          <t>LJUNGBY</t>
        </is>
      </c>
      <c r="F1703" t="inlineStr">
        <is>
          <t>Kyrkan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24583-2025</t>
        </is>
      </c>
      <c r="B1704" s="1" t="n">
        <v>45798</v>
      </c>
      <c r="C1704" s="1" t="n">
        <v>45812</v>
      </c>
      <c r="D1704" t="inlineStr">
        <is>
          <t>KRONOBERGS LÄN</t>
        </is>
      </c>
      <c r="E1704" t="inlineStr">
        <is>
          <t>LJUNGBY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24750-2025</t>
        </is>
      </c>
      <c r="B1705" s="1" t="n">
        <v>45799</v>
      </c>
      <c r="C1705" s="1" t="n">
        <v>45812</v>
      </c>
      <c r="D1705" t="inlineStr">
        <is>
          <t>KRONOBERGS LÄN</t>
        </is>
      </c>
      <c r="E1705" t="inlineStr">
        <is>
          <t>LJUNGBY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24775-2025</t>
        </is>
      </c>
      <c r="B1706" s="1" t="n">
        <v>45799</v>
      </c>
      <c r="C1706" s="1" t="n">
        <v>45812</v>
      </c>
      <c r="D1706" t="inlineStr">
        <is>
          <t>KRONOBERGS LÄN</t>
        </is>
      </c>
      <c r="E1706" t="inlineStr">
        <is>
          <t>LJUNGBY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25636-2025</t>
        </is>
      </c>
      <c r="B1707" s="1" t="n">
        <v>45803</v>
      </c>
      <c r="C1707" s="1" t="n">
        <v>45812</v>
      </c>
      <c r="D1707" t="inlineStr">
        <is>
          <t>KRONOBERGS LÄN</t>
        </is>
      </c>
      <c r="E1707" t="inlineStr">
        <is>
          <t>LJUNGBY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25997-2025</t>
        </is>
      </c>
      <c r="B1708" s="1" t="n">
        <v>45804</v>
      </c>
      <c r="C1708" s="1" t="n">
        <v>45812</v>
      </c>
      <c r="D1708" t="inlineStr">
        <is>
          <t>KRONOBERGS LÄN</t>
        </is>
      </c>
      <c r="E1708" t="inlineStr">
        <is>
          <t>LJUNGBY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26001-2025</t>
        </is>
      </c>
      <c r="B1709" s="1" t="n">
        <v>45804</v>
      </c>
      <c r="C1709" s="1" t="n">
        <v>45812</v>
      </c>
      <c r="D1709" t="inlineStr">
        <is>
          <t>KRONOBERGS LÄN</t>
        </is>
      </c>
      <c r="E1709" t="inlineStr">
        <is>
          <t>LJUNGBY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25999-2025</t>
        </is>
      </c>
      <c r="B1710" s="1" t="n">
        <v>45804</v>
      </c>
      <c r="C1710" s="1" t="n">
        <v>45812</v>
      </c>
      <c r="D1710" t="inlineStr">
        <is>
          <t>KRONOBERGS LÄN</t>
        </is>
      </c>
      <c r="E1710" t="inlineStr">
        <is>
          <t>LJUNGBY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26064-2025</t>
        </is>
      </c>
      <c r="B1711" s="1" t="n">
        <v>45805</v>
      </c>
      <c r="C1711" s="1" t="n">
        <v>45812</v>
      </c>
      <c r="D1711" t="inlineStr">
        <is>
          <t>KRONOBERGS LÄN</t>
        </is>
      </c>
      <c r="E1711" t="inlineStr">
        <is>
          <t>LJUNGBY</t>
        </is>
      </c>
      <c r="F1711" t="inlineStr">
        <is>
          <t>Sveaskog</t>
        </is>
      </c>
      <c r="G1711" t="n">
        <v>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26065-2025</t>
        </is>
      </c>
      <c r="B1712" s="1" t="n">
        <v>45805</v>
      </c>
      <c r="C1712" s="1" t="n">
        <v>45812</v>
      </c>
      <c r="D1712" t="inlineStr">
        <is>
          <t>KRONOBERGS LÄN</t>
        </is>
      </c>
      <c r="E1712" t="inlineStr">
        <is>
          <t>LJUNGBY</t>
        </is>
      </c>
      <c r="F1712" t="inlineStr">
        <is>
          <t>Sveaskog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26070-2025</t>
        </is>
      </c>
      <c r="B1713" s="1" t="n">
        <v>45805</v>
      </c>
      <c r="C1713" s="1" t="n">
        <v>45812</v>
      </c>
      <c r="D1713" t="inlineStr">
        <is>
          <t>KRONOBERGS LÄN</t>
        </is>
      </c>
      <c r="E1713" t="inlineStr">
        <is>
          <t>LJUNGBY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26063-2025</t>
        </is>
      </c>
      <c r="B1714" s="1" t="n">
        <v>45805</v>
      </c>
      <c r="C1714" s="1" t="n">
        <v>45812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26936-2025</t>
        </is>
      </c>
      <c r="B1715" s="1" t="n">
        <v>45811</v>
      </c>
      <c r="C1715" s="1" t="n">
        <v>45812</v>
      </c>
      <c r="D1715" t="inlineStr">
        <is>
          <t>KRONOBERGS LÄN</t>
        </is>
      </c>
      <c r="E1715" t="inlineStr">
        <is>
          <t>LJUNGBY</t>
        </is>
      </c>
      <c r="G1715" t="n">
        <v>0.3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26972-2025</t>
        </is>
      </c>
      <c r="B1716" s="1" t="n">
        <v>45811</v>
      </c>
      <c r="C1716" s="1" t="n">
        <v>45812</v>
      </c>
      <c r="D1716" t="inlineStr">
        <is>
          <t>KRONOBERGS LÄN</t>
        </is>
      </c>
      <c r="E1716" t="inlineStr">
        <is>
          <t>LJUNGBY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27012-2025</t>
        </is>
      </c>
      <c r="B1717" s="1" t="n">
        <v>45811</v>
      </c>
      <c r="C1717" s="1" t="n">
        <v>45812</v>
      </c>
      <c r="D1717" t="inlineStr">
        <is>
          <t>KRONOBERGS LÄN</t>
        </is>
      </c>
      <c r="E1717" t="inlineStr">
        <is>
          <t>LJUNGBY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27013-2025</t>
        </is>
      </c>
      <c r="B1718" s="1" t="n">
        <v>45811</v>
      </c>
      <c r="C1718" s="1" t="n">
        <v>45812</v>
      </c>
      <c r="D1718" t="inlineStr">
        <is>
          <t>KRONOBERGS LÄN</t>
        </is>
      </c>
      <c r="E1718" t="inlineStr">
        <is>
          <t>LJUNGBY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26928-2025</t>
        </is>
      </c>
      <c r="B1719" s="1" t="n">
        <v>45811</v>
      </c>
      <c r="C1719" s="1" t="n">
        <v>45812</v>
      </c>
      <c r="D1719" t="inlineStr">
        <is>
          <t>KRONOBERGS LÄN</t>
        </is>
      </c>
      <c r="E1719" t="inlineStr">
        <is>
          <t>LJUNGBY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26957-2025</t>
        </is>
      </c>
      <c r="B1720" s="1" t="n">
        <v>45811</v>
      </c>
      <c r="C1720" s="1" t="n">
        <v>45812</v>
      </c>
      <c r="D1720" t="inlineStr">
        <is>
          <t>KRONOBERGS LÄN</t>
        </is>
      </c>
      <c r="E1720" t="inlineStr">
        <is>
          <t>LJUNGBY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27004-2025</t>
        </is>
      </c>
      <c r="B1721" s="1" t="n">
        <v>45811</v>
      </c>
      <c r="C1721" s="1" t="n">
        <v>45812</v>
      </c>
      <c r="D1721" t="inlineStr">
        <is>
          <t>KRONOBERGS LÄN</t>
        </is>
      </c>
      <c r="E1721" t="inlineStr">
        <is>
          <t>LJUNGBY</t>
        </is>
      </c>
      <c r="G1721" t="n">
        <v>3.8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26975-2025</t>
        </is>
      </c>
      <c r="B1722" s="1" t="n">
        <v>45811</v>
      </c>
      <c r="C1722" s="1" t="n">
        <v>45812</v>
      </c>
      <c r="D1722" t="inlineStr">
        <is>
          <t>KRONOBERGS LÄN</t>
        </is>
      </c>
      <c r="E1722" t="inlineStr">
        <is>
          <t>LJUNGBY</t>
        </is>
      </c>
      <c r="G1722" t="n">
        <v>5.5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26979-2025</t>
        </is>
      </c>
      <c r="B1723" s="1" t="n">
        <v>45811</v>
      </c>
      <c r="C1723" s="1" t="n">
        <v>45812</v>
      </c>
      <c r="D1723" t="inlineStr">
        <is>
          <t>KRONOBERGS LÄN</t>
        </is>
      </c>
      <c r="E1723" t="inlineStr">
        <is>
          <t>LJUNGBY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26926-2025</t>
        </is>
      </c>
      <c r="B1724" s="1" t="n">
        <v>45811</v>
      </c>
      <c r="C1724" s="1" t="n">
        <v>45812</v>
      </c>
      <c r="D1724" t="inlineStr">
        <is>
          <t>KRONOBERGS LÄN</t>
        </is>
      </c>
      <c r="E1724" t="inlineStr">
        <is>
          <t>LJUNGBY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>
      <c r="A1725" t="inlineStr">
        <is>
          <t>A 27019-2025</t>
        </is>
      </c>
      <c r="B1725" s="1" t="n">
        <v>45811</v>
      </c>
      <c r="C1725" s="1" t="n">
        <v>45812</v>
      </c>
      <c r="D1725" t="inlineStr">
        <is>
          <t>KRONOBERGS LÄN</t>
        </is>
      </c>
      <c r="E1725" t="inlineStr">
        <is>
          <t>LJUNGBY</t>
        </is>
      </c>
      <c r="G1725" t="n">
        <v>5.4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2025-06-04T18:16:32Z</dcterms:created>
  <dcterms:modified xmlns:dcterms="http://purl.org/dc/terms/" xmlns:xsi="http://www.w3.org/2001/XMLSchema-instance" xsi:type="dcterms:W3CDTF">2025-06-04T18:16:34Z</dcterms:modified>
</cp:coreProperties>
</file>