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46236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46236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46236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46236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46236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46236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46236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46236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46236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46236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46236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46236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46236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46236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46236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46236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46236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46236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46236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46236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46236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46236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A 43369-2024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45568</v>
      </c>
      <c r="E29" s="1" t="n">
        <v>46236</v>
      </c>
      <c r="F29" t="inlineStr">
        <is>
          <t>KRONOBERGS LÄN</t>
        </is>
      </c>
      <c r="G29" t="inlineStr">
        <is>
          <t>LJUNGBY</t>
        </is>
      </c>
      <c r="I29" t="n">
        <v>1.6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Slåttergubbe
Fläcknycklar
Grönvit nattviol</t>
        </is>
      </c>
      <c r="W29">
        <f>HYPERLINK("https://klasma.github.io/Logging_0781/artfynd/A 43369-2024 artfynd.xlsx", "A 43369-2024")</f>
        <v/>
      </c>
      <c r="X29">
        <f>HYPERLINK("https://klasma.github.io/Logging_0781/kartor/A 43369-2024 karta.png", "A 43369-2024")</f>
        <v/>
      </c>
      <c r="Y29">
        <f>HYPERLINK("https://klasma.github.io/Logging_0781/kartor_geotiff/A 43369-2024 georefererad karta.tif", "A 43369-2024")</f>
        <v/>
      </c>
      <c r="AA29">
        <f>HYPERLINK("https://klasma.github.io/Logging_0781/klagomål/A 43369-2024 FSC-klagomål.docx", "A 43369-2024")</f>
        <v/>
      </c>
      <c r="AB29">
        <f>HYPERLINK("https://klasma.github.io/Logging_0781/klagomålsmail/A 43369-2024 FSC-klagomål mail.docx", "A 43369-2024")</f>
        <v/>
      </c>
      <c r="AC29">
        <f>HYPERLINK("https://klasma.github.io/Logging_0781/tillsyn/A 43369-2024 tillsynsbegäran.docx", "A 43369-2024")</f>
        <v/>
      </c>
      <c r="AD29">
        <f>HYPERLINK("https://klasma.github.io/Logging_0781/tillsynsmail/A 43369-2024 tillsynsbegäran mail.docx", "A 43369-2024")</f>
        <v/>
      </c>
    </row>
    <row r="30" ht="15" customHeight="1">
      <c r="A30" t="inlineStr">
        <is>
          <t>A 49550-2023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45211</v>
      </c>
      <c r="E30" s="1" t="n">
        <v>46236</v>
      </c>
      <c r="F30" t="inlineStr">
        <is>
          <t>KRONOBERGS LÄN</t>
        </is>
      </c>
      <c r="G30" t="inlineStr">
        <is>
          <t>LJUNGBY</t>
        </is>
      </c>
      <c r="I30" t="n">
        <v>2.1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Talltita
Orre
Revlummer</t>
        </is>
      </c>
      <c r="W30">
        <f>HYPERLINK("https://klasma.github.io/Logging_0781/artfynd/A 49550-2023 artfynd.xlsx", "A 49550-2023")</f>
        <v/>
      </c>
      <c r="X30">
        <f>HYPERLINK("https://klasma.github.io/Logging_0781/kartor/A 49550-2023 karta.png", "A 49550-2023")</f>
        <v/>
      </c>
      <c r="Y30">
        <f>HYPERLINK("https://klasma.github.io/Logging_0781/kartor_geotiff/A 49550-2023 georefererad karta.tif", "A 49550-2023")</f>
        <v/>
      </c>
      <c r="AA30">
        <f>HYPERLINK("https://klasma.github.io/Logging_0781/klagomål/A 49550-2023 FSC-klagomål.docx", "A 49550-2023")</f>
        <v/>
      </c>
      <c r="AB30">
        <f>HYPERLINK("https://klasma.github.io/Logging_0781/klagomålsmail/A 49550-2023 FSC-klagomål mail.docx", "A 49550-2023")</f>
        <v/>
      </c>
      <c r="AC30">
        <f>HYPERLINK("https://klasma.github.io/Logging_0781/tillsyn/A 49550-2023 tillsynsbegäran.docx", "A 49550-2023")</f>
        <v/>
      </c>
      <c r="AD30">
        <f>HYPERLINK("https://klasma.github.io/Logging_0781/tillsynsmail/A 49550-2023 tillsynsbegäran mail.docx", "A 49550-2023")</f>
        <v/>
      </c>
      <c r="AE30">
        <f>HYPERLINK("https://klasma.github.io/Logging_0781/fåglar/A 49550-2023 prioriterade fågelarter.docx", "A 49550-2023")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46236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46236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46236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46236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46236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21869-2026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46236</v>
      </c>
      <c r="F37" t="inlineStr">
        <is>
          <t>KRONOBERGS LÄN</t>
        </is>
      </c>
      <c r="G37" t="inlineStr">
        <is>
          <t>LJUNGBY</t>
        </is>
      </c>
      <c r="I37" t="n">
        <v>3.4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Ängskovall</t>
        </is>
      </c>
      <c r="W37">
        <f>HYPERLINK("https://klasma.github.io/Logging_0781/artfynd/A 21869-2026 artfynd.xlsx", "A 21869-2026")</f>
        <v/>
      </c>
      <c r="X37">
        <f>HYPERLINK("https://klasma.github.io/Logging_0781/kartor/A 21869-2026 karta.png", "A 21869-2026")</f>
        <v/>
      </c>
      <c r="Y37">
        <f>HYPERLINK("https://klasma.github.io/Logging_0781/kartor_geotiff/A 21869-2026 georefererad karta.tif", "A 21869-2026")</f>
        <v/>
      </c>
      <c r="AA37">
        <f>HYPERLINK("https://klasma.github.io/Logging_0781/klagomål/A 21869-2026 FSC-klagomål.docx", "A 21869-2026")</f>
        <v/>
      </c>
      <c r="AB37">
        <f>HYPERLINK("https://klasma.github.io/Logging_0781/klagomålsmail/A 21869-2026 FSC-klagomål mail.docx", "A 21869-2026")</f>
        <v/>
      </c>
      <c r="AC37">
        <f>HYPERLINK("https://klasma.github.io/Logging_0781/tillsyn/A 21869-2026 tillsynsbegäran.docx", "A 21869-2026")</f>
        <v/>
      </c>
      <c r="AD37">
        <f>HYPERLINK("https://klasma.github.io/Logging_0781/tillsynsmail/A 21869-2026 tillsynsbegäran mail.docx", "A 21869-2026")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46236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28286-2026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46236</v>
      </c>
      <c r="F39" t="inlineStr">
        <is>
          <t>KRONOBERGS LÄN</t>
        </is>
      </c>
      <c r="G39" t="inlineStr">
        <is>
          <t>LJUNGBY</t>
        </is>
      </c>
      <c r="I39" t="n">
        <v>0.5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Korallrot
Spindelblomster</t>
        </is>
      </c>
      <c r="W39">
        <f>HYPERLINK("https://klasma.github.io/Logging_0781/artfynd/A 28286-2026 artfynd.xlsx", "A 28286-2026")</f>
        <v/>
      </c>
      <c r="X39">
        <f>HYPERLINK("https://klasma.github.io/Logging_0781/kartor/A 28286-2026 karta.png", "A 28286-2026")</f>
        <v/>
      </c>
      <c r="Y39">
        <f>HYPERLINK("https://klasma.github.io/Logging_0781/kartor_geotiff/A 28286-2026 georefererad karta.tif", "A 28286-2026")</f>
        <v/>
      </c>
      <c r="AA39">
        <f>HYPERLINK("https://klasma.github.io/Logging_0781/klagomål/A 28286-2026 FSC-klagomål.docx", "A 28286-2026")</f>
        <v/>
      </c>
      <c r="AB39">
        <f>HYPERLINK("https://klasma.github.io/Logging_0781/klagomålsmail/A 28286-2026 FSC-klagomål mail.docx", "A 28286-2026")</f>
        <v/>
      </c>
      <c r="AC39">
        <f>HYPERLINK("https://klasma.github.io/Logging_0781/tillsyn/A 28286-2026 tillsynsbegäran.docx", "A 28286-2026")</f>
        <v/>
      </c>
      <c r="AD39">
        <f>HYPERLINK("https://klasma.github.io/Logging_0781/tillsynsmail/A 28286-2026 tillsynsbegäran mail.docx", "A 28286-2026")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46236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28774-2026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46198</v>
      </c>
      <c r="E41" s="1" t="n">
        <v>46236</v>
      </c>
      <c r="F41" t="inlineStr">
        <is>
          <t>KRONOBERGS LÄN</t>
        </is>
      </c>
      <c r="G41" t="inlineStr">
        <is>
          <t>LJUNGBY</t>
        </is>
      </c>
      <c r="I41" t="n">
        <v>4.3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Skuggmossa
Fläcknycklar</t>
        </is>
      </c>
      <c r="W41">
        <f>HYPERLINK("https://klasma.github.io/Logging_0781/artfynd/A 28774-2026 artfynd.xlsx", "A 28774-2026")</f>
        <v/>
      </c>
      <c r="X41">
        <f>HYPERLINK("https://klasma.github.io/Logging_0781/kartor/A 28774-2026 karta.png", "A 28774-2026")</f>
        <v/>
      </c>
      <c r="Y41">
        <f>HYPERLINK("https://klasma.github.io/Logging_0781/kartor_geotiff/A 28774-2026 georefererad karta.tif", "A 28774-2026")</f>
        <v/>
      </c>
      <c r="AA41">
        <f>HYPERLINK("https://klasma.github.io/Logging_0781/klagomål/A 28774-2026 FSC-klagomål.docx", "A 28774-2026")</f>
        <v/>
      </c>
      <c r="AB41">
        <f>HYPERLINK("https://klasma.github.io/Logging_0781/klagomålsmail/A 28774-2026 FSC-klagomål mail.docx", "A 28774-2026")</f>
        <v/>
      </c>
      <c r="AC41">
        <f>HYPERLINK("https://klasma.github.io/Logging_0781/tillsyn/A 28774-2026 tillsynsbegäran.docx", "A 28774-2026")</f>
        <v/>
      </c>
      <c r="AD41">
        <f>HYPERLINK("https://klasma.github.io/Logging_0781/tillsynsmail/A 28774-2026 tillsynsbegäran mail.docx", "A 28774-2026")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46236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49747-2023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46236</v>
      </c>
      <c r="F43" t="inlineStr">
        <is>
          <t>KRONOBERGS LÄN</t>
        </is>
      </c>
      <c r="G43" t="inlineStr">
        <is>
          <t>LJUNGBY</t>
        </is>
      </c>
      <c r="I43" t="n">
        <v>6.7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49747-2023 artfynd.xlsx", "A 49747-2023")</f>
        <v/>
      </c>
      <c r="X43">
        <f>HYPERLINK("https://klasma.github.io/Logging_0781/kartor/A 49747-2023 karta.png", "A 49747-2023")</f>
        <v/>
      </c>
      <c r="Y43">
        <f>HYPERLINK("https://klasma.github.io/Logging_0781/kartor_geotiff/A 49747-2023 georefererad karta.tif", "A 49747-2023")</f>
        <v/>
      </c>
      <c r="AA43">
        <f>HYPERLINK("https://klasma.github.io/Logging_0781/klagomål/A 49747-2023 FSC-klagomål.docx", "A 49747-2023")</f>
        <v/>
      </c>
      <c r="AB43">
        <f>HYPERLINK("https://klasma.github.io/Logging_0781/klagomålsmail/A 49747-2023 FSC-klagomål mail.docx", "A 49747-2023")</f>
        <v/>
      </c>
      <c r="AC43">
        <f>HYPERLINK("https://klasma.github.io/Logging_0781/tillsyn/A 49747-2023 tillsynsbegäran.docx", "A 49747-2023")</f>
        <v/>
      </c>
      <c r="AD43">
        <f>HYPERLINK("https://klasma.github.io/Logging_0781/tillsynsmail/A 49747-2023 tillsynsbegäran mail.docx", "A 49747-2023")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46236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46236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60681-2025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45996</v>
      </c>
      <c r="E46" s="1" t="n">
        <v>46236</v>
      </c>
      <c r="F46" t="inlineStr">
        <is>
          <t>KRONOBERGS LÄN</t>
        </is>
      </c>
      <c r="G46" t="inlineStr">
        <is>
          <t>LJUNGBY</t>
        </is>
      </c>
      <c r="I46" t="n">
        <v>5.6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Gulsparv
Spillkråka</t>
        </is>
      </c>
      <c r="W46">
        <f>HYPERLINK("https://klasma.github.io/Logging_0781/artfynd/A 60681-2025 artfynd.xlsx", "A 60681-2025")</f>
        <v/>
      </c>
      <c r="X46">
        <f>HYPERLINK("https://klasma.github.io/Logging_0781/kartor/A 60681-2025 karta.png", "A 60681-2025")</f>
        <v/>
      </c>
      <c r="Y46">
        <f>HYPERLINK("https://klasma.github.io/Logging_0781/kartor_geotiff/A 60681-2025 georefererad karta.tif", "A 60681-2025")</f>
        <v/>
      </c>
      <c r="AA46">
        <f>HYPERLINK("https://klasma.github.io/Logging_0781/klagomål/A 60681-2025 FSC-klagomål.docx", "A 60681-2025")</f>
        <v/>
      </c>
      <c r="AB46">
        <f>HYPERLINK("https://klasma.github.io/Logging_0781/klagomålsmail/A 60681-2025 FSC-klagomål mail.docx", "A 60681-2025")</f>
        <v/>
      </c>
      <c r="AC46">
        <f>HYPERLINK("https://klasma.github.io/Logging_0781/tillsyn/A 60681-2025 tillsynsbegäran.docx", "A 60681-2025")</f>
        <v/>
      </c>
      <c r="AD46">
        <f>HYPERLINK("https://klasma.github.io/Logging_0781/tillsynsmail/A 60681-2025 tillsynsbegäran mail.docx", "A 60681-2025")</f>
        <v/>
      </c>
      <c r="AE46">
        <f>HYPERLINK("https://klasma.github.io/Logging_0781/fåglar/A 60681-2025 prioriterade fågelarter.docx", "A 60681-2025")</f>
        <v/>
      </c>
    </row>
    <row r="47" ht="15" customHeight="1">
      <c r="A47" t="inlineStr">
        <is>
          <t>A 25295-2023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45086</v>
      </c>
      <c r="E47" s="1" t="n">
        <v>46236</v>
      </c>
      <c r="F47" t="inlineStr">
        <is>
          <t>KRONOBERGS LÄN</t>
        </is>
      </c>
      <c r="G47" t="inlineStr">
        <is>
          <t>LJUNGBY</t>
        </is>
      </c>
      <c r="I47" t="n">
        <v>1.3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Grönpyrola
Mattlummer</t>
        </is>
      </c>
      <c r="W47">
        <f>HYPERLINK("https://klasma.github.io/Logging_0781/artfynd/A 25295-2023 artfynd.xlsx", "A 25295-2023")</f>
        <v/>
      </c>
      <c r="X47">
        <f>HYPERLINK("https://klasma.github.io/Logging_0781/kartor/A 25295-2023 karta.png", "A 25295-2023")</f>
        <v/>
      </c>
      <c r="Y47">
        <f>HYPERLINK("https://klasma.github.io/Logging_0781/kartor_geotiff/A 25295-2023 georefererad karta.tif", "A 25295-2023")</f>
        <v/>
      </c>
      <c r="AA47">
        <f>HYPERLINK("https://klasma.github.io/Logging_0781/klagomål/A 25295-2023 FSC-klagomål.docx", "A 25295-2023")</f>
        <v/>
      </c>
      <c r="AB47">
        <f>HYPERLINK("https://klasma.github.io/Logging_0781/klagomålsmail/A 25295-2023 FSC-klagomål mail.docx", "A 25295-2023")</f>
        <v/>
      </c>
      <c r="AC47">
        <f>HYPERLINK("https://klasma.github.io/Logging_0781/tillsyn/A 25295-2023 tillsynsbegäran.docx", "A 25295-2023")</f>
        <v/>
      </c>
      <c r="AD47">
        <f>HYPERLINK("https://klasma.github.io/Logging_0781/tillsynsmail/A 25295-2023 tillsynsbegäran mail.docx", "A 25295-2023")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46236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46236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46236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46236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45510-2023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45194</v>
      </c>
      <c r="E52" s="1" t="n">
        <v>46236</v>
      </c>
      <c r="F52" t="inlineStr">
        <is>
          <t>KRONOBERGS LÄN</t>
        </is>
      </c>
      <c r="G52" t="inlineStr">
        <is>
          <t>LJUNGBY</t>
        </is>
      </c>
      <c r="I52" t="n">
        <v>1.9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Klippfrullania</t>
        </is>
      </c>
      <c r="W52">
        <f>HYPERLINK("https://klasma.github.io/Logging_0781/artfynd/A 45510-2023 artfynd.xlsx", "A 45510-2023")</f>
        <v/>
      </c>
      <c r="X52">
        <f>HYPERLINK("https://klasma.github.io/Logging_0781/kartor/A 45510-2023 karta.png", "A 45510-2023")</f>
        <v/>
      </c>
      <c r="Y52">
        <f>HYPERLINK("https://klasma.github.io/Logging_0781/kartor_geotiff/A 45510-2023 georefererad karta.tif", "A 45510-2023")</f>
        <v/>
      </c>
      <c r="AA52">
        <f>HYPERLINK("https://klasma.github.io/Logging_0781/klagomål/A 45510-2023 FSC-klagomål.docx", "A 45510-2023")</f>
        <v/>
      </c>
      <c r="AB52">
        <f>HYPERLINK("https://klasma.github.io/Logging_0781/klagomålsmail/A 45510-2023 FSC-klagomål mail.docx", "A 45510-2023")</f>
        <v/>
      </c>
      <c r="AC52">
        <f>HYPERLINK("https://klasma.github.io/Logging_0781/tillsyn/A 45510-2023 tillsynsbegäran.docx", "A 45510-2023")</f>
        <v/>
      </c>
      <c r="AD52">
        <f>HYPERLINK("https://klasma.github.io/Logging_0781/tillsynsmail/A 45510-2023 tillsynsbegäran mail.docx", "A 45510-2023")</f>
        <v/>
      </c>
    </row>
    <row r="53" ht="15" customHeight="1">
      <c r="A53" t="inlineStr">
        <is>
          <t>A 32346-2024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46236</v>
      </c>
      <c r="F53" t="inlineStr">
        <is>
          <t>KRONOBERGS LÄN</t>
        </is>
      </c>
      <c r="G53" t="inlineStr">
        <is>
          <t>LJUNGBY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32346-2024 artfynd.xlsx", "A 32346-2024")</f>
        <v/>
      </c>
      <c r="X53">
        <f>HYPERLINK("https://klasma.github.io/Logging_0781/kartor/A 32346-2024 karta.png", "A 32346-2024")</f>
        <v/>
      </c>
      <c r="Y53">
        <f>HYPERLINK("https://klasma.github.io/Logging_0781/kartor_geotiff/A 32346-2024 georefererad karta.tif", "A 32346-2024")</f>
        <v/>
      </c>
      <c r="AA53">
        <f>HYPERLINK("https://klasma.github.io/Logging_0781/klagomål/A 32346-2024 FSC-klagomål.docx", "A 32346-2024")</f>
        <v/>
      </c>
      <c r="AB53">
        <f>HYPERLINK("https://klasma.github.io/Logging_0781/klagomålsmail/A 32346-2024 FSC-klagomål mail.docx", "A 32346-2024")</f>
        <v/>
      </c>
      <c r="AC53">
        <f>HYPERLINK("https://klasma.github.io/Logging_0781/tillsyn/A 32346-2024 tillsynsbegäran.docx", "A 32346-2024")</f>
        <v/>
      </c>
      <c r="AD53">
        <f>HYPERLINK("https://klasma.github.io/Logging_0781/tillsynsmail/A 32346-2024 tillsynsbegäran mail.docx", "A 32346-2024")</f>
        <v/>
      </c>
    </row>
    <row r="54" ht="15" customHeight="1">
      <c r="A54" t="inlineStr">
        <is>
          <t>A 62862-2023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45272</v>
      </c>
      <c r="E54" s="1" t="n">
        <v>46236</v>
      </c>
      <c r="F54" t="inlineStr">
        <is>
          <t>KRONOBERGS LÄN</t>
        </is>
      </c>
      <c r="G54" t="inlineStr">
        <is>
          <t>LJUNGBY</t>
        </is>
      </c>
      <c r="I54" t="n">
        <v>4.2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Barkkornlav
Klippfrullania</t>
        </is>
      </c>
      <c r="W54">
        <f>HYPERLINK("https://klasma.github.io/Logging_0781/artfynd/A 62862-2023 artfynd.xlsx", "A 62862-2023")</f>
        <v/>
      </c>
      <c r="X54">
        <f>HYPERLINK("https://klasma.github.io/Logging_0781/kartor/A 62862-2023 karta.png", "A 62862-2023")</f>
        <v/>
      </c>
      <c r="Y54">
        <f>HYPERLINK("https://klasma.github.io/Logging_0781/kartor_geotiff/A 62862-2023 georefererad karta.tif", "A 62862-2023")</f>
        <v/>
      </c>
      <c r="AA54">
        <f>HYPERLINK("https://klasma.github.io/Logging_0781/klagomål/A 62862-2023 FSC-klagomål.docx", "A 62862-2023")</f>
        <v/>
      </c>
      <c r="AB54">
        <f>HYPERLINK("https://klasma.github.io/Logging_0781/klagomålsmail/A 62862-2023 FSC-klagomål mail.docx", "A 62862-2023")</f>
        <v/>
      </c>
      <c r="AC54">
        <f>HYPERLINK("https://klasma.github.io/Logging_0781/tillsyn/A 62862-2023 tillsynsbegäran.docx", "A 62862-2023")</f>
        <v/>
      </c>
      <c r="AD54">
        <f>HYPERLINK("https://klasma.github.io/Logging_0781/tillsynsmail/A 62862-2023 tillsynsbegäran mail.docx", "A 62862-2023")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46236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46236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46236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46236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46236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46236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46236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46236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46236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46236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46236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46236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46236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46236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46236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46236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62026-2023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46236</v>
      </c>
      <c r="F80" t="inlineStr">
        <is>
          <t>KRONOBERGS LÄN</t>
        </is>
      </c>
      <c r="G80" t="inlineStr">
        <is>
          <t>LJUNGBY</t>
        </is>
      </c>
      <c r="I80" t="n">
        <v>3.9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62026-2023 artfynd.xlsx", "A 62026-2023")</f>
        <v/>
      </c>
      <c r="X80">
        <f>HYPERLINK("https://klasma.github.io/Logging_0781/kartor/A 62026-2023 karta.png", "A 62026-2023")</f>
        <v/>
      </c>
      <c r="Y80">
        <f>HYPERLINK("https://klasma.github.io/Logging_0781/kartor_geotiff/A 62026-2023 georefererad karta.tif", "A 62026-2023")</f>
        <v/>
      </c>
      <c r="AA80">
        <f>HYPERLINK("https://klasma.github.io/Logging_0781/klagomål/A 62026-2023 FSC-klagomål.docx", "A 62026-2023")</f>
        <v/>
      </c>
      <c r="AB80">
        <f>HYPERLINK("https://klasma.github.io/Logging_0781/klagomålsmail/A 62026-2023 FSC-klagomål mail.docx", "A 62026-2023")</f>
        <v/>
      </c>
      <c r="AC80">
        <f>HYPERLINK("https://klasma.github.io/Logging_0781/tillsyn/A 62026-2023 tillsynsbegäran.docx", "A 62026-2023")</f>
        <v/>
      </c>
      <c r="AD80">
        <f>HYPERLINK("https://klasma.github.io/Logging_0781/tillsynsmail/A 62026-2023 tillsynsbegäran mail.docx", "A 62026-2023")</f>
        <v/>
      </c>
      <c r="AE80">
        <f>HYPERLINK("https://klasma.github.io/Logging_0781/fåglar/A 62026-2023 prioriterade fågelarter.docx", "A 62026-2023")</f>
        <v/>
      </c>
    </row>
    <row r="81" ht="15" customHeight="1">
      <c r="A81" t="inlineStr">
        <is>
          <t>A 64830-2023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45282</v>
      </c>
      <c r="E81" s="1" t="n">
        <v>46236</v>
      </c>
      <c r="F81" t="inlineStr">
        <is>
          <t>KRONOBERGS LÄN</t>
        </is>
      </c>
      <c r="G81" t="inlineStr">
        <is>
          <t>LJUNGBY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64830-2023 artfynd.xlsx", "A 64830-2023")</f>
        <v/>
      </c>
      <c r="X81">
        <f>HYPERLINK("https://klasma.github.io/Logging_0781/kartor/A 64830-2023 karta.png", "A 64830-2023")</f>
        <v/>
      </c>
      <c r="Y81">
        <f>HYPERLINK("https://klasma.github.io/Logging_0781/kartor_geotiff/A 64830-2023 georefererad karta.tif", "A 64830-2023")</f>
        <v/>
      </c>
      <c r="AA81">
        <f>HYPERLINK("https://klasma.github.io/Logging_0781/klagomål/A 64830-2023 FSC-klagomål.docx", "A 64830-2023")</f>
        <v/>
      </c>
      <c r="AB81">
        <f>HYPERLINK("https://klasma.github.io/Logging_0781/klagomålsmail/A 64830-2023 FSC-klagomål mail.docx", "A 64830-2023")</f>
        <v/>
      </c>
      <c r="AC81">
        <f>HYPERLINK("https://klasma.github.io/Logging_0781/tillsyn/A 64830-2023 tillsynsbegäran.docx", "A 64830-2023")</f>
        <v/>
      </c>
      <c r="AD81">
        <f>HYPERLINK("https://klasma.github.io/Logging_0781/tillsynsmail/A 64830-2023 tillsynsbegäran mail.docx", "A 64830-2023")</f>
        <v/>
      </c>
    </row>
    <row r="82" ht="15" customHeight="1">
      <c r="A82" t="inlineStr">
        <is>
          <t>A 9911-2023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44985</v>
      </c>
      <c r="E82" s="1" t="n">
        <v>46236</v>
      </c>
      <c r="F82" t="inlineStr">
        <is>
          <t>KRONOBERGS LÄN</t>
        </is>
      </c>
      <c r="G82" t="inlineStr">
        <is>
          <t>LJUNGBY</t>
        </is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Spindelblomster</t>
        </is>
      </c>
      <c r="W82">
        <f>HYPERLINK("https://klasma.github.io/Logging_0781/artfynd/A 9911-2023 artfynd.xlsx", "A 9911-2023")</f>
        <v/>
      </c>
      <c r="X82">
        <f>HYPERLINK("https://klasma.github.io/Logging_0781/kartor/A 9911-2023 karta.png", "A 9911-2023")</f>
        <v/>
      </c>
      <c r="Y82">
        <f>HYPERLINK("https://klasma.github.io/Logging_0781/kartor_geotiff/A 9911-2023 georefererad karta.tif", "A 9911-2023")</f>
        <v/>
      </c>
      <c r="AA82">
        <f>HYPERLINK("https://klasma.github.io/Logging_0781/klagomål/A 9911-2023 FSC-klagomål.docx", "A 9911-2023")</f>
        <v/>
      </c>
      <c r="AB82">
        <f>HYPERLINK("https://klasma.github.io/Logging_0781/klagomålsmail/A 9911-2023 FSC-klagomål mail.docx", "A 9911-2023")</f>
        <v/>
      </c>
      <c r="AC82">
        <f>HYPERLINK("https://klasma.github.io/Logging_0781/tillsyn/A 9911-2023 tillsynsbegäran.docx", "A 9911-2023")</f>
        <v/>
      </c>
      <c r="AD82">
        <f>HYPERLINK("https://klasma.github.io/Logging_0781/tillsynsmail/A 9911-2023 tillsynsbegäran mail.docx", "A 9911-2023")</f>
        <v/>
      </c>
    </row>
    <row r="83" ht="15" customHeight="1">
      <c r="A83" t="inlineStr">
        <is>
          <t>A 59681-2022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46236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2.3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59681-2022 artfynd.xlsx", "A 59681-2022")</f>
        <v/>
      </c>
      <c r="X83">
        <f>HYPERLINK("https://klasma.github.io/Logging_0781/kartor/A 59681-2022 karta.png", "A 59681-2022")</f>
        <v/>
      </c>
      <c r="Y83">
        <f>HYPERLINK("https://klasma.github.io/Logging_0781/kartor_geotiff/A 59681-2022 georefererad karta.tif", "A 59681-2022")</f>
        <v/>
      </c>
      <c r="AA83">
        <f>HYPERLINK("https://klasma.github.io/Logging_0781/klagomål/A 59681-2022 FSC-klagomål.docx", "A 59681-2022")</f>
        <v/>
      </c>
      <c r="AB83">
        <f>HYPERLINK("https://klasma.github.io/Logging_0781/klagomålsmail/A 59681-2022 FSC-klagomål mail.docx", "A 59681-2022")</f>
        <v/>
      </c>
      <c r="AC83">
        <f>HYPERLINK("https://klasma.github.io/Logging_0781/tillsyn/A 59681-2022 tillsynsbegäran.docx", "A 59681-2022")</f>
        <v/>
      </c>
      <c r="AD83">
        <f>HYPERLINK("https://klasma.github.io/Logging_0781/tillsynsmail/A 59681-2022 tillsynsbegäran mail.docx", "A 59681-2022")</f>
        <v/>
      </c>
      <c r="AE83">
        <f>HYPERLINK("https://klasma.github.io/Logging_0781/fåglar/A 59681-2022 prioriterade fågelarter.docx", "A 59681-2022")</f>
        <v/>
      </c>
    </row>
    <row r="84" ht="15" customHeight="1">
      <c r="A84" t="inlineStr">
        <is>
          <t>A 11508-2024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46236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HYPERLINK("https://klasma.github.io/Logging_0781/artfynd/A 11508-2024 artfynd.xlsx", "A 11508-2024")</f>
        <v/>
      </c>
      <c r="X84">
        <f>HYPERLINK("https://klasma.github.io/Logging_0781/kartor/A 11508-2024 karta.png", "A 11508-2024")</f>
        <v/>
      </c>
      <c r="Y84">
        <f>HYPERLINK("https://klasma.github.io/Logging_0781/kartor_geotiff/A 11508-2024 georefererad karta.tif", "A 11508-2024")</f>
        <v/>
      </c>
      <c r="AA84">
        <f>HYPERLINK("https://klasma.github.io/Logging_0781/klagomål/A 11508-2024 FSC-klagomål.docx", "A 11508-2024")</f>
        <v/>
      </c>
      <c r="AB84">
        <f>HYPERLINK("https://klasma.github.io/Logging_0781/klagomålsmail/A 11508-2024 FSC-klagomål mail.docx", "A 11508-2024")</f>
        <v/>
      </c>
      <c r="AC84">
        <f>HYPERLINK("https://klasma.github.io/Logging_0781/tillsyn/A 11508-2024 tillsynsbegäran.docx", "A 11508-2024")</f>
        <v/>
      </c>
      <c r="AD84">
        <f>HYPERLINK("https://klasma.github.io/Logging_0781/tillsynsmail/A 11508-2024 tillsynsbegäran mail.docx", "A 11508-2024")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46236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21039-2023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45061</v>
      </c>
      <c r="E86" s="1" t="n">
        <v>46236</v>
      </c>
      <c r="F86" t="inlineStr">
        <is>
          <t>KRONOBERGS LÄN</t>
        </is>
      </c>
      <c r="G86" t="inlineStr">
        <is>
          <t>LJUNGBY</t>
        </is>
      </c>
      <c r="I86" t="n">
        <v>4.3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HYPERLINK("https://klasma.github.io/Logging_0781/artfynd/A 21039-2023 artfynd.xlsx", "A 21039-2023")</f>
        <v/>
      </c>
      <c r="X86">
        <f>HYPERLINK("https://klasma.github.io/Logging_0781/kartor/A 21039-2023 karta.png", "A 21039-2023")</f>
        <v/>
      </c>
      <c r="Y86">
        <f>HYPERLINK("https://klasma.github.io/Logging_0781/kartor_geotiff/A 21039-2023 georefererad karta.tif", "A 21039-2023")</f>
        <v/>
      </c>
      <c r="AA86">
        <f>HYPERLINK("https://klasma.github.io/Logging_0781/klagomål/A 21039-2023 FSC-klagomål.docx", "A 21039-2023")</f>
        <v/>
      </c>
      <c r="AB86">
        <f>HYPERLINK("https://klasma.github.io/Logging_0781/klagomålsmail/A 21039-2023 FSC-klagomål mail.docx", "A 21039-2023")</f>
        <v/>
      </c>
      <c r="AC86">
        <f>HYPERLINK("https://klasma.github.io/Logging_0781/tillsyn/A 21039-2023 tillsynsbegäran.docx", "A 21039-2023")</f>
        <v/>
      </c>
      <c r="AD86">
        <f>HYPERLINK("https://klasma.github.io/Logging_0781/tillsynsmail/A 21039-2023 tillsynsbegäran mail.docx", "A 21039-2023")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46236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46236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Gröngöling</t>
        </is>
      </c>
      <c r="W88">
        <f>HYPERLINK("https://klasma.github.io/Logging_0781/artfynd/A 49077-2024 artfynd.xlsx", "A 49077-2024")</f>
        <v/>
      </c>
      <c r="X88">
        <f>HYPERLINK("https://klasma.github.io/Logging_0781/kartor/A 49077-2024 karta.png", "A 49077-2024")</f>
        <v/>
      </c>
      <c r="Y88">
        <f>HYPERLINK("https://klasma.github.io/Logging_0781/kartor_geotiff/A 49077-2024 georefererad karta.tif", "A 49077-2024")</f>
        <v/>
      </c>
      <c r="AA88">
        <f>HYPERLINK("https://klasma.github.io/Logging_0781/klagomål/A 49077-2024 FSC-klagomål.docx", "A 49077-2024")</f>
        <v/>
      </c>
      <c r="AB88">
        <f>HYPERLINK("https://klasma.github.io/Logging_0781/klagomålsmail/A 49077-2024 FSC-klagomål mail.docx", "A 49077-2024")</f>
        <v/>
      </c>
      <c r="AC88">
        <f>HYPERLINK("https://klasma.github.io/Logging_0781/tillsyn/A 49077-2024 tillsynsbegäran.docx", "A 49077-2024")</f>
        <v/>
      </c>
      <c r="AD88">
        <f>HYPERLINK("https://klasma.github.io/Logging_0781/tillsynsmail/A 49077-2024 tillsynsbegäran mail.docx", "A 49077-2024")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46236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46236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205-2023 artfynd.xlsx", "A 205-2023")</f>
        <v/>
      </c>
      <c r="X90">
        <f>HYPERLINK("https://klasma.github.io/Logging_0781/kartor/A 205-2023 karta.png", "A 205-2023")</f>
        <v/>
      </c>
      <c r="Y90">
        <f>HYPERLINK("https://klasma.github.io/Logging_0781/kartor_geotiff/A 205-2023 georefererad karta.tif", "A 205-2023")</f>
        <v/>
      </c>
      <c r="AA90">
        <f>HYPERLINK("https://klasma.github.io/Logging_0781/klagomål/A 205-2023 FSC-klagomål.docx", "A 205-2023")</f>
        <v/>
      </c>
      <c r="AB90">
        <f>HYPERLINK("https://klasma.github.io/Logging_0781/klagomålsmail/A 205-2023 FSC-klagomål mail.docx", "A 205-2023")</f>
        <v/>
      </c>
      <c r="AC90">
        <f>HYPERLINK("https://klasma.github.io/Logging_0781/tillsyn/A 205-2023 tillsynsbegäran.docx", "A 205-2023")</f>
        <v/>
      </c>
      <c r="AD90">
        <f>HYPERLINK("https://klasma.github.io/Logging_0781/tillsynsmail/A 205-2023 tillsynsbegäran mail.docx", "A 205-2023")</f>
        <v/>
      </c>
    </row>
    <row r="91" ht="15" customHeight="1">
      <c r="A91" t="inlineStr">
        <is>
          <t>A 40560-2024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45555</v>
      </c>
      <c r="E91" s="1" t="n">
        <v>46236</v>
      </c>
      <c r="F91" t="inlineStr">
        <is>
          <t>KRONOBERGS LÄN</t>
        </is>
      </c>
      <c r="G91" t="inlineStr">
        <is>
          <t>LJUNGBY</t>
        </is>
      </c>
      <c r="I91" t="n">
        <v>3.4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HYPERLINK("https://klasma.github.io/Logging_0781/artfynd/A 40560-2024 artfynd.xlsx", "A 40560-2024")</f>
        <v/>
      </c>
      <c r="X91">
        <f>HYPERLINK("https://klasma.github.io/Logging_0781/kartor/A 40560-2024 karta.png", "A 40560-2024")</f>
        <v/>
      </c>
      <c r="Y91">
        <f>HYPERLINK("https://klasma.github.io/Logging_0781/kartor_geotiff/A 40560-2024 georefererad karta.tif", "A 40560-2024")</f>
        <v/>
      </c>
      <c r="AA91">
        <f>HYPERLINK("https://klasma.github.io/Logging_0781/klagomål/A 40560-2024 FSC-klagomål.docx", "A 40560-2024")</f>
        <v/>
      </c>
      <c r="AB91">
        <f>HYPERLINK("https://klasma.github.io/Logging_0781/klagomålsmail/A 40560-2024 FSC-klagomål mail.docx", "A 40560-2024")</f>
        <v/>
      </c>
      <c r="AC91">
        <f>HYPERLINK("https://klasma.github.io/Logging_0781/tillsyn/A 40560-2024 tillsynsbegäran.docx", "A 40560-2024")</f>
        <v/>
      </c>
      <c r="AD91">
        <f>HYPERLINK("https://klasma.github.io/Logging_0781/tillsynsmail/A 40560-2024 tillsynsbegäran mail.docx", "A 40560-2024")</f>
        <v/>
      </c>
      <c r="AE91">
        <f>HYPERLINK("https://klasma.github.io/Logging_0781/fåglar/A 40560-2024 prioriterade fågelarter.docx", "A 40560-2024")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46236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32047-2024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46236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HYPERLINK("https://klasma.github.io/Logging_0781/artfynd/A 32047-2024 artfynd.xlsx", "A 32047-2024")</f>
        <v/>
      </c>
      <c r="X93">
        <f>HYPERLINK("https://klasma.github.io/Logging_0781/kartor/A 32047-2024 karta.png", "A 32047-2024")</f>
        <v/>
      </c>
      <c r="Y93">
        <f>HYPERLINK("https://klasma.github.io/Logging_0781/kartor_geotiff/A 32047-2024 georefererad karta.tif", "A 32047-2024")</f>
        <v/>
      </c>
      <c r="Z93">
        <f>HYPERLINK("https://klasma.github.io/Logging_0781/knärot/A 32047-2024 karta knärot.png", "A 32047-2024")</f>
        <v/>
      </c>
      <c r="AA93">
        <f>HYPERLINK("https://klasma.github.io/Logging_0781/klagomål/A 32047-2024 FSC-klagomål.docx", "A 32047-2024")</f>
        <v/>
      </c>
      <c r="AB93">
        <f>HYPERLINK("https://klasma.github.io/Logging_0781/klagomålsmail/A 32047-2024 FSC-klagomål mail.docx", "A 32047-2024")</f>
        <v/>
      </c>
      <c r="AC93">
        <f>HYPERLINK("https://klasma.github.io/Logging_0781/tillsyn/A 32047-2024 tillsynsbegäran.docx", "A 32047-2024")</f>
        <v/>
      </c>
      <c r="AD93">
        <f>HYPERLINK("https://klasma.github.io/Logging_0781/tillsynsmail/A 32047-2024 tillsynsbegäran mail.docx", "A 32047-2024")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46236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13387-2022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46236</v>
      </c>
      <c r="F95" t="inlineStr">
        <is>
          <t>KRONOBERGS LÄN</t>
        </is>
      </c>
      <c r="G95" t="inlineStr">
        <is>
          <t>LJUNGBY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13387-2022 artfynd.xlsx", "A 13387-2022")</f>
        <v/>
      </c>
      <c r="X95">
        <f>HYPERLINK("https://klasma.github.io/Logging_0781/kartor/A 13387-2022 karta.png", "A 13387-2022")</f>
        <v/>
      </c>
      <c r="Y95">
        <f>HYPERLINK("https://klasma.github.io/Logging_0781/kartor_geotiff/A 13387-2022 georefererad karta.tif", "A 13387-2022")</f>
        <v/>
      </c>
      <c r="AA95">
        <f>HYPERLINK("https://klasma.github.io/Logging_0781/klagomål/A 13387-2022 FSC-klagomål.docx", "A 13387-2022")</f>
        <v/>
      </c>
      <c r="AB95">
        <f>HYPERLINK("https://klasma.github.io/Logging_0781/klagomålsmail/A 13387-2022 FSC-klagomål mail.docx", "A 13387-2022")</f>
        <v/>
      </c>
      <c r="AC95">
        <f>HYPERLINK("https://klasma.github.io/Logging_0781/tillsyn/A 13387-2022 tillsynsbegäran.docx", "A 13387-2022")</f>
        <v/>
      </c>
      <c r="AD95">
        <f>HYPERLINK("https://klasma.github.io/Logging_0781/tillsynsmail/A 13387-2022 tillsynsbegäran mail.docx", "A 13387-2022")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46236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46236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28134-2026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46236</v>
      </c>
      <c r="F98" t="inlineStr">
        <is>
          <t>KRONOBERGS LÄN</t>
        </is>
      </c>
      <c r="G98" t="inlineStr">
        <is>
          <t>LJUNGBY</t>
        </is>
      </c>
      <c r="I98" t="n">
        <v>2.4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28134-2026 artfynd.xlsx", "A 28134-2026")</f>
        <v/>
      </c>
      <c r="X98">
        <f>HYPERLINK("https://klasma.github.io/Logging_0781/kartor/A 28134-2026 karta.png", "A 28134-2026")</f>
        <v/>
      </c>
      <c r="Y98">
        <f>HYPERLINK("https://klasma.github.io/Logging_0781/kartor_geotiff/A 28134-2026 georefererad karta.tif", "A 28134-2026")</f>
        <v/>
      </c>
      <c r="AA98">
        <f>HYPERLINK("https://klasma.github.io/Logging_0781/klagomål/A 28134-2026 FSC-klagomål.docx", "A 28134-2026")</f>
        <v/>
      </c>
      <c r="AB98">
        <f>HYPERLINK("https://klasma.github.io/Logging_0781/klagomålsmail/A 28134-2026 FSC-klagomål mail.docx", "A 28134-2026")</f>
        <v/>
      </c>
      <c r="AC98">
        <f>HYPERLINK("https://klasma.github.io/Logging_0781/tillsyn/A 28134-2026 tillsynsbegäran.docx", "A 28134-2026")</f>
        <v/>
      </c>
      <c r="AD98">
        <f>HYPERLINK("https://klasma.github.io/Logging_0781/tillsynsmail/A 28134-2026 tillsynsbegäran mail.docx", "A 28134-2026")</f>
        <v/>
      </c>
      <c r="AE98">
        <f>HYPERLINK("https://klasma.github.io/Logging_0781/fåglar/A 28134-2026 prioriterade fågelarter.docx", "A 28134-2026")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46236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46236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46236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46236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46236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46236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Brunpudrad nållav</t>
        </is>
      </c>
      <c r="W104">
        <f>HYPERLINK("https://klasma.github.io/Logging_0781/artfynd/A 49237-2021 artfynd.xlsx", "A 49237-2021")</f>
        <v/>
      </c>
      <c r="X104">
        <f>HYPERLINK("https://klasma.github.io/Logging_0781/kartor/A 49237-2021 karta.png", "A 49237-2021")</f>
        <v/>
      </c>
      <c r="Y104">
        <f>HYPERLINK("https://klasma.github.io/Logging_0781/kartor_geotiff/A 49237-2021 georefererad karta.tif", "A 49237-2021")</f>
        <v/>
      </c>
      <c r="AA104">
        <f>HYPERLINK("https://klasma.github.io/Logging_0781/klagomål/A 49237-2021 FSC-klagomål.docx", "A 49237-2021")</f>
        <v/>
      </c>
      <c r="AB104">
        <f>HYPERLINK("https://klasma.github.io/Logging_0781/klagomålsmail/A 49237-2021 FSC-klagomål mail.docx", "A 49237-2021")</f>
        <v/>
      </c>
      <c r="AC104">
        <f>HYPERLINK("https://klasma.github.io/Logging_0781/tillsyn/A 49237-2021 tillsynsbegäran.docx", "A 49237-2021")</f>
        <v/>
      </c>
      <c r="AD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40088-2022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46236</v>
      </c>
      <c r="F105" t="inlineStr">
        <is>
          <t>KRONOBERGS LÄN</t>
        </is>
      </c>
      <c r="G105" t="inlineStr">
        <is>
          <t>LJUNGBY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Stor hagfibbla</t>
        </is>
      </c>
      <c r="W105">
        <f>HYPERLINK("https://klasma.github.io/Logging_0781/artfynd/A 40088-2022 artfynd.xlsx", "A 40088-2022")</f>
        <v/>
      </c>
      <c r="X105">
        <f>HYPERLINK("https://klasma.github.io/Logging_0781/kartor/A 40088-2022 karta.png", "A 40088-2022")</f>
        <v/>
      </c>
      <c r="Y105">
        <f>HYPERLINK("https://klasma.github.io/Logging_0781/kartor_geotiff/A 40088-2022 georefererad karta.tif", "A 40088-2022")</f>
        <v/>
      </c>
      <c r="AA105">
        <f>HYPERLINK("https://klasma.github.io/Logging_0781/klagomål/A 40088-2022 FSC-klagomål.docx", "A 40088-2022")</f>
        <v/>
      </c>
      <c r="AB105">
        <f>HYPERLINK("https://klasma.github.io/Logging_0781/klagomålsmail/A 40088-2022 FSC-klagomål mail.docx", "A 40088-2022")</f>
        <v/>
      </c>
      <c r="AC105">
        <f>HYPERLINK("https://klasma.github.io/Logging_0781/tillsyn/A 40088-2022 tillsynsbegäran.docx", "A 40088-2022")</f>
        <v/>
      </c>
      <c r="AD105">
        <f>HYPERLINK("https://klasma.github.io/Logging_0781/tillsynsmail/A 40088-2022 tillsynsbegäran mail.docx", "A 40088-2022")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46236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HYPERLINK("https://klasma.github.io/Logging_0781/artfynd/A 62153-2025 artfynd.xlsx", "A 62153-2025")</f>
        <v/>
      </c>
      <c r="X106">
        <f>HYPERLINK("https://klasma.github.io/Logging_0781/kartor/A 62153-2025 karta.png", "A 62153-2025")</f>
        <v/>
      </c>
      <c r="Y106">
        <f>HYPERLINK("https://klasma.github.io/Logging_0781/kartor_geotiff/A 62153-2025 georefererad karta.tif", "A 62153-2025")</f>
        <v/>
      </c>
      <c r="AA106">
        <f>HYPERLINK("https://klasma.github.io/Logging_0781/klagomål/A 62153-2025 FSC-klagomål.docx", "A 62153-2025")</f>
        <v/>
      </c>
      <c r="AB106">
        <f>HYPERLINK("https://klasma.github.io/Logging_0781/klagomålsmail/A 62153-2025 FSC-klagomål mail.docx", "A 62153-2025")</f>
        <v/>
      </c>
      <c r="AC106">
        <f>HYPERLINK("https://klasma.github.io/Logging_0781/tillsyn/A 62153-2025 tillsynsbegäran.docx", "A 62153-2025")</f>
        <v/>
      </c>
      <c r="AD106">
        <f>HYPERLINK("https://klasma.github.io/Logging_0781/tillsynsmail/A 62153-2025 tillsynsbegäran mail.docx", "A 62153-2025")</f>
        <v/>
      </c>
      <c r="AE106">
        <f>HYPERLINK("https://klasma.github.io/Logging_0781/fåglar/A 62153-2025 prioriterade fågelarter.docx", "A 62153-2025")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46236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38427-2023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46236</v>
      </c>
      <c r="F108" t="inlineStr">
        <is>
          <t>KRONOBERGS LÄN</t>
        </is>
      </c>
      <c r="G108" t="inlineStr">
        <is>
          <t>LJUNGBY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snok</t>
        </is>
      </c>
      <c r="W108">
        <f>HYPERLINK("https://klasma.github.io/Logging_0781/artfynd/A 38427-2023 artfynd.xlsx", "A 38427-2023")</f>
        <v/>
      </c>
      <c r="X108">
        <f>HYPERLINK("https://klasma.github.io/Logging_0781/kartor/A 38427-2023 karta.png", "A 38427-2023")</f>
        <v/>
      </c>
      <c r="Y108">
        <f>HYPERLINK("https://klasma.github.io/Logging_0781/kartor_geotiff/A 38427-2023 georefererad karta.tif", "A 38427-2023")</f>
        <v/>
      </c>
      <c r="AA108">
        <f>HYPERLINK("https://klasma.github.io/Logging_0781/klagomål/A 38427-2023 FSC-klagomål.docx", "A 38427-2023")</f>
        <v/>
      </c>
      <c r="AB108">
        <f>HYPERLINK("https://klasma.github.io/Logging_0781/klagomålsmail/A 38427-2023 FSC-klagomål mail.docx", "A 38427-2023")</f>
        <v/>
      </c>
      <c r="AC108">
        <f>HYPERLINK("https://klasma.github.io/Logging_0781/tillsyn/A 38427-2023 tillsynsbegäran.docx", "A 38427-2023")</f>
        <v/>
      </c>
      <c r="AD108">
        <f>HYPERLINK("https://klasma.github.io/Logging_0781/tillsynsmail/A 38427-2023 tillsynsbegäran mail.docx", "A 38427-2023")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46236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13460-2023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46236</v>
      </c>
      <c r="F110" t="inlineStr">
        <is>
          <t>KRONOBERGS LÄN</t>
        </is>
      </c>
      <c r="G110" t="inlineStr">
        <is>
          <t>LJUNGBY</t>
        </is>
      </c>
      <c r="I110" t="n">
        <v>5.1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HYPERLINK("https://klasma.github.io/Logging_0781/artfynd/A 13460-2023 artfynd.xlsx", "A 13460-2023")</f>
        <v/>
      </c>
      <c r="X110">
        <f>HYPERLINK("https://klasma.github.io/Logging_0781/kartor/A 13460-2023 karta.png", "A 13460-2023")</f>
        <v/>
      </c>
      <c r="Y110">
        <f>HYPERLINK("https://klasma.github.io/Logging_0781/kartor_geotiff/A 13460-2023 georefererad karta.tif", "A 13460-2023")</f>
        <v/>
      </c>
      <c r="AA110">
        <f>HYPERLINK("https://klasma.github.io/Logging_0781/klagomål/A 13460-2023 FSC-klagomål.docx", "A 13460-2023")</f>
        <v/>
      </c>
      <c r="AB110">
        <f>HYPERLINK("https://klasma.github.io/Logging_0781/klagomålsmail/A 13460-2023 FSC-klagomål mail.docx", "A 13460-2023")</f>
        <v/>
      </c>
      <c r="AC110">
        <f>HYPERLINK("https://klasma.github.io/Logging_0781/tillsyn/A 13460-2023 tillsynsbegäran.docx", "A 13460-2023")</f>
        <v/>
      </c>
      <c r="AD110">
        <f>HYPERLINK("https://klasma.github.io/Logging_0781/tillsynsmail/A 13460-2023 tillsynsbegäran mail.docx", "A 13460-2023")</f>
        <v/>
      </c>
      <c r="AE110">
        <f>HYPERLINK("https://klasma.github.io/Logging_0781/fåglar/A 13460-2023 prioriterade fågelarter.docx", "A 13460-2023")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46236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42054-2024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46236</v>
      </c>
      <c r="F112" t="inlineStr">
        <is>
          <t>KRONOBERGS LÄN</t>
        </is>
      </c>
      <c r="G112" t="inlineStr">
        <is>
          <t>LJUNGBY</t>
        </is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42054-2024 artfynd.xlsx", "A 42054-2024")</f>
        <v/>
      </c>
      <c r="X112">
        <f>HYPERLINK("https://klasma.github.io/Logging_0781/kartor/A 42054-2024 karta.png", "A 42054-2024")</f>
        <v/>
      </c>
      <c r="Y112">
        <f>HYPERLINK("https://klasma.github.io/Logging_0781/kartor_geotiff/A 42054-2024 georefererad karta.tif", "A 42054-2024")</f>
        <v/>
      </c>
      <c r="AA112">
        <f>HYPERLINK("https://klasma.github.io/Logging_0781/klagomål/A 42054-2024 FSC-klagomål.docx", "A 42054-2024")</f>
        <v/>
      </c>
      <c r="AB112">
        <f>HYPERLINK("https://klasma.github.io/Logging_0781/klagomålsmail/A 42054-2024 FSC-klagomål mail.docx", "A 42054-2024")</f>
        <v/>
      </c>
      <c r="AC112">
        <f>HYPERLINK("https://klasma.github.io/Logging_0781/tillsyn/A 42054-2024 tillsynsbegäran.docx", "A 42054-2024")</f>
        <v/>
      </c>
      <c r="AD112">
        <f>HYPERLINK("https://klasma.github.io/Logging_0781/tillsynsmail/A 42054-2024 tillsynsbegäran mail.docx", "A 42054-2024")</f>
        <v/>
      </c>
    </row>
    <row r="113" ht="15" customHeight="1">
      <c r="A113" t="inlineStr">
        <is>
          <t>A 34935-2024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46236</v>
      </c>
      <c r="F113" t="inlineStr">
        <is>
          <t>KRONOBERGS LÄN</t>
        </is>
      </c>
      <c r="G113" t="inlineStr">
        <is>
          <t>LJUNGBY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Hårginst</t>
        </is>
      </c>
      <c r="W113">
        <f>HYPERLINK("https://klasma.github.io/Logging_0781/artfynd/A 34935-2024 artfynd.xlsx", "A 34935-2024")</f>
        <v/>
      </c>
      <c r="X113">
        <f>HYPERLINK("https://klasma.github.io/Logging_0781/kartor/A 34935-2024 karta.png", "A 34935-2024")</f>
        <v/>
      </c>
      <c r="Y113">
        <f>HYPERLINK("https://klasma.github.io/Logging_0781/kartor_geotiff/A 34935-2024 georefererad karta.tif", "A 34935-2024")</f>
        <v/>
      </c>
      <c r="AA113">
        <f>HYPERLINK("https://klasma.github.io/Logging_0781/klagomål/A 34935-2024 FSC-klagomål.docx", "A 34935-2024")</f>
        <v/>
      </c>
      <c r="AB113">
        <f>HYPERLINK("https://klasma.github.io/Logging_0781/klagomålsmail/A 34935-2024 FSC-klagomål mail.docx", "A 34935-2024")</f>
        <v/>
      </c>
      <c r="AC113">
        <f>HYPERLINK("https://klasma.github.io/Logging_0781/tillsyn/A 34935-2024 tillsynsbegäran.docx", "A 34935-2024")</f>
        <v/>
      </c>
      <c r="AD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25241-2023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46236</v>
      </c>
      <c r="F114" t="inlineStr">
        <is>
          <t>KRONOBERGS LÄN</t>
        </is>
      </c>
      <c r="G114" t="inlineStr">
        <is>
          <t>LJUNGBY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25241-2023 artfynd.xlsx", "A 25241-2023")</f>
        <v/>
      </c>
      <c r="X114">
        <f>HYPERLINK("https://klasma.github.io/Logging_0781/kartor/A 25241-2023 karta.png", "A 25241-2023")</f>
        <v/>
      </c>
      <c r="Y114">
        <f>HYPERLINK("https://klasma.github.io/Logging_0781/kartor_geotiff/A 25241-2023 georefererad karta.tif", "A 25241-2023")</f>
        <v/>
      </c>
      <c r="AA114">
        <f>HYPERLINK("https://klasma.github.io/Logging_0781/klagomål/A 25241-2023 FSC-klagomål.docx", "A 25241-2023")</f>
        <v/>
      </c>
      <c r="AB114">
        <f>HYPERLINK("https://klasma.github.io/Logging_0781/klagomålsmail/A 25241-2023 FSC-klagomål mail.docx", "A 25241-2023")</f>
        <v/>
      </c>
      <c r="AC114">
        <f>HYPERLINK("https://klasma.github.io/Logging_0781/tillsyn/A 25241-2023 tillsynsbegäran.docx", "A 25241-2023")</f>
        <v/>
      </c>
      <c r="AD114">
        <f>HYPERLINK("https://klasma.github.io/Logging_0781/tillsynsmail/A 25241-2023 tillsynsbegäran mail.docx", "A 25241-2023")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46236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HYPERLINK("https://klasma.github.io/Logging_0781/artfynd/A 5614-2024 artfynd.xlsx", "A 5614-2024")</f>
        <v/>
      </c>
      <c r="X115">
        <f>HYPERLINK("https://klasma.github.io/Logging_0781/kartor/A 5614-2024 karta.png", "A 5614-2024")</f>
        <v/>
      </c>
      <c r="Y115">
        <f>HYPERLINK("https://klasma.github.io/Logging_0781/kartor_geotiff/A 5614-2024 georefererad karta.tif", "A 5614-2024")</f>
        <v/>
      </c>
      <c r="AA115">
        <f>HYPERLINK("https://klasma.github.io/Logging_0781/klagomål/A 5614-2024 FSC-klagomål.docx", "A 5614-2024")</f>
        <v/>
      </c>
      <c r="AB115">
        <f>HYPERLINK("https://klasma.github.io/Logging_0781/klagomålsmail/A 5614-2024 FSC-klagomål mail.docx", "A 5614-2024")</f>
        <v/>
      </c>
      <c r="AC115">
        <f>HYPERLINK("https://klasma.github.io/Logging_0781/tillsyn/A 5614-2024 tillsynsbegäran.docx", "A 5614-2024")</f>
        <v/>
      </c>
      <c r="AD115">
        <f>HYPERLINK("https://klasma.github.io/Logging_0781/tillsynsmail/A 5614-2024 tillsynsbegäran mail.docx", "A 5614-2024")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46236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46236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15671-2026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46236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Tofsmes</t>
        </is>
      </c>
      <c r="W118">
        <f>HYPERLINK("https://klasma.github.io/Logging_0781/artfynd/A 15671-2026 artfynd.xlsx", "A 15671-2026")</f>
        <v/>
      </c>
      <c r="X118">
        <f>HYPERLINK("https://klasma.github.io/Logging_0781/kartor/A 15671-2026 karta.png", "A 15671-2026")</f>
        <v/>
      </c>
      <c r="Y118">
        <f>HYPERLINK("https://klasma.github.io/Logging_0781/kartor_geotiff/A 15671-2026 georefererad karta.tif", "A 15671-2026")</f>
        <v/>
      </c>
      <c r="AA118">
        <f>HYPERLINK("https://klasma.github.io/Logging_0781/klagomål/A 15671-2026 FSC-klagomål.docx", "A 15671-2026")</f>
        <v/>
      </c>
      <c r="AB118">
        <f>HYPERLINK("https://klasma.github.io/Logging_0781/klagomålsmail/A 15671-2026 FSC-klagomål mail.docx", "A 15671-2026")</f>
        <v/>
      </c>
      <c r="AC118">
        <f>HYPERLINK("https://klasma.github.io/Logging_0781/tillsyn/A 15671-2026 tillsynsbegäran.docx", "A 15671-2026")</f>
        <v/>
      </c>
      <c r="AD118">
        <f>HYPERLINK("https://klasma.github.io/Logging_0781/tillsynsmail/A 15671-2026 tillsynsbegäran mail.docx", "A 15671-2026")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46236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40911-2024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46236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9.1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HYPERLINK("https://klasma.github.io/Logging_0781/artfynd/A 40911-2024 artfynd.xlsx", "A 40911-2024")</f>
        <v/>
      </c>
      <c r="X120">
        <f>HYPERLINK("https://klasma.github.io/Logging_0781/kartor/A 40911-2024 karta.png", "A 40911-2024")</f>
        <v/>
      </c>
      <c r="Y120">
        <f>HYPERLINK("https://klasma.github.io/Logging_0781/kartor_geotiff/A 40911-2024 georefererad karta.tif", "A 40911-2024")</f>
        <v/>
      </c>
      <c r="AA120">
        <f>HYPERLINK("https://klasma.github.io/Logging_0781/klagomål/A 40911-2024 FSC-klagomål.docx", "A 40911-2024")</f>
        <v/>
      </c>
      <c r="AB120">
        <f>HYPERLINK("https://klasma.github.io/Logging_0781/klagomålsmail/A 40911-2024 FSC-klagomål mail.docx", "A 40911-2024")</f>
        <v/>
      </c>
      <c r="AC120">
        <f>HYPERLINK("https://klasma.github.io/Logging_0781/tillsyn/A 40911-2024 tillsynsbegäran.docx", "A 40911-2024")</f>
        <v/>
      </c>
      <c r="AD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30862-2025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46236</v>
      </c>
      <c r="F121" t="inlineStr">
        <is>
          <t>KRONOBERGS LÄN</t>
        </is>
      </c>
      <c r="G121" t="inlineStr">
        <is>
          <t>LJUNGBY</t>
        </is>
      </c>
      <c r="I121" t="n">
        <v>13.7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Slåttergubbe</t>
        </is>
      </c>
      <c r="W121">
        <f>HYPERLINK("https://klasma.github.io/Logging_0781/artfynd/A 30862-2025 artfynd.xlsx", "A 30862-2025")</f>
        <v/>
      </c>
      <c r="X121">
        <f>HYPERLINK("https://klasma.github.io/Logging_0781/kartor/A 30862-2025 karta.png", "A 30862-2025")</f>
        <v/>
      </c>
      <c r="Y121">
        <f>HYPERLINK("https://klasma.github.io/Logging_0781/kartor_geotiff/A 30862-2025 georefererad karta.tif", "A 30862-2025")</f>
        <v/>
      </c>
      <c r="AA121">
        <f>HYPERLINK("https://klasma.github.io/Logging_0781/klagomål/A 30862-2025 FSC-klagomål.docx", "A 30862-2025")</f>
        <v/>
      </c>
      <c r="AB121">
        <f>HYPERLINK("https://klasma.github.io/Logging_0781/klagomålsmail/A 30862-2025 FSC-klagomål mail.docx", "A 30862-2025")</f>
        <v/>
      </c>
      <c r="AC121">
        <f>HYPERLINK("https://klasma.github.io/Logging_0781/tillsyn/A 30862-2025 tillsynsbegäran.docx", "A 30862-2025")</f>
        <v/>
      </c>
      <c r="AD121">
        <f>HYPERLINK("https://klasma.github.io/Logging_0781/tillsynsmail/A 30862-2025 tillsynsbegäran mail.docx", "A 30862-2025")</f>
        <v/>
      </c>
    </row>
    <row r="122" ht="15" customHeight="1">
      <c r="A122" t="inlineStr">
        <is>
          <t>A 31604-2025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46236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Borsttåg</t>
        </is>
      </c>
      <c r="W122">
        <f>HYPERLINK("https://klasma.github.io/Logging_0781/artfynd/A 31604-2025 artfynd.xlsx", "A 31604-2025")</f>
        <v/>
      </c>
      <c r="X122">
        <f>HYPERLINK("https://klasma.github.io/Logging_0781/kartor/A 31604-2025 karta.png", "A 31604-2025")</f>
        <v/>
      </c>
      <c r="Y122">
        <f>HYPERLINK("https://klasma.github.io/Logging_0781/kartor_geotiff/A 31604-2025 georefererad karta.tif", "A 31604-2025")</f>
        <v/>
      </c>
      <c r="AA122">
        <f>HYPERLINK("https://klasma.github.io/Logging_0781/klagomål/A 31604-2025 FSC-klagomål.docx", "A 31604-2025")</f>
        <v/>
      </c>
      <c r="AB122">
        <f>HYPERLINK("https://klasma.github.io/Logging_0781/klagomålsmail/A 31604-2025 FSC-klagomål mail.docx", "A 31604-2025")</f>
        <v/>
      </c>
      <c r="AC122">
        <f>HYPERLINK("https://klasma.github.io/Logging_0781/tillsyn/A 31604-2025 tillsynsbegäran.docx", "A 31604-2025")</f>
        <v/>
      </c>
      <c r="AD122">
        <f>HYPERLINK("https://klasma.github.io/Logging_0781/tillsynsmail/A 31604-2025 tillsynsbegäran mail.docx", "A 31604-2025")</f>
        <v/>
      </c>
    </row>
    <row r="123" ht="15" customHeight="1">
      <c r="A123" t="inlineStr">
        <is>
          <t>A 36514-2025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46236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6.2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Kambräken</t>
        </is>
      </c>
      <c r="W123">
        <f>HYPERLINK("https://klasma.github.io/Logging_0781/artfynd/A 36514-2025 artfynd.xlsx", "A 36514-2025")</f>
        <v/>
      </c>
      <c r="X123">
        <f>HYPERLINK("https://klasma.github.io/Logging_0781/kartor/A 36514-2025 karta.png", "A 36514-2025")</f>
        <v/>
      </c>
      <c r="Y123">
        <f>HYPERLINK("https://klasma.github.io/Logging_0781/kartor_geotiff/A 36514-2025 georefererad karta.tif", "A 36514-2025")</f>
        <v/>
      </c>
      <c r="AA123">
        <f>HYPERLINK("https://klasma.github.io/Logging_0781/klagomål/A 36514-2025 FSC-klagomål.docx", "A 36514-2025")</f>
        <v/>
      </c>
      <c r="AB123">
        <f>HYPERLINK("https://klasma.github.io/Logging_0781/klagomålsmail/A 36514-2025 FSC-klagomål mail.docx", "A 36514-2025")</f>
        <v/>
      </c>
      <c r="AC123">
        <f>HYPERLINK("https://klasma.github.io/Logging_0781/tillsyn/A 36514-2025 tillsynsbegäran.docx", "A 36514-2025")</f>
        <v/>
      </c>
      <c r="AD123">
        <f>HYPERLINK("https://klasma.github.io/Logging_0781/tillsynsmail/A 36514-2025 tillsynsbegäran mail.docx", "A 36514-2025")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46236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56832-2022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44894</v>
      </c>
      <c r="E125" s="1" t="n">
        <v>46236</v>
      </c>
      <c r="F125" t="inlineStr">
        <is>
          <t>KRONOBERGS LÄN</t>
        </is>
      </c>
      <c r="G125" t="inlineStr">
        <is>
          <t>LJUNGBY</t>
        </is>
      </c>
      <c r="I125" t="n">
        <v>1.5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Svinrot</t>
        </is>
      </c>
      <c r="W125">
        <f>HYPERLINK("https://klasma.github.io/Logging_0781/artfynd/A 56832-2022 artfynd.xlsx", "A 56832-2022")</f>
        <v/>
      </c>
      <c r="X125">
        <f>HYPERLINK("https://klasma.github.io/Logging_0781/kartor/A 56832-2022 karta.png", "A 56832-2022")</f>
        <v/>
      </c>
      <c r="Y125">
        <f>HYPERLINK("https://klasma.github.io/Logging_0781/kartor_geotiff/A 56832-2022 georefererad karta.tif", "A 56832-2022")</f>
        <v/>
      </c>
      <c r="AA125">
        <f>HYPERLINK("https://klasma.github.io/Logging_0781/klagomål/A 56832-2022 FSC-klagomål.docx", "A 56832-2022")</f>
        <v/>
      </c>
      <c r="AB125">
        <f>HYPERLINK("https://klasma.github.io/Logging_0781/klagomålsmail/A 56832-2022 FSC-klagomål mail.docx", "A 56832-2022")</f>
        <v/>
      </c>
      <c r="AC125">
        <f>HYPERLINK("https://klasma.github.io/Logging_0781/tillsyn/A 56832-2022 tillsynsbegäran.docx", "A 56832-2022")</f>
        <v/>
      </c>
      <c r="AD125">
        <f>HYPERLINK("https://klasma.github.io/Logging_0781/tillsynsmail/A 56832-2022 tillsynsbegäran mail.docx", "A 56832-2022")</f>
        <v/>
      </c>
    </row>
    <row r="126" ht="15" customHeight="1">
      <c r="A126" t="inlineStr">
        <is>
          <t>A 51284-2021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46236</v>
      </c>
      <c r="F126" t="inlineStr">
        <is>
          <t>KRONOBERGS LÄN</t>
        </is>
      </c>
      <c r="G126" t="inlineStr">
        <is>
          <t>LJUNGBY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51284-2021 artfynd.xlsx", "A 51284-2021")</f>
        <v/>
      </c>
      <c r="X126">
        <f>HYPERLINK("https://klasma.github.io/Logging_0781/kartor/A 51284-2021 karta.png", "A 51284-2021")</f>
        <v/>
      </c>
      <c r="Y126">
        <f>HYPERLINK("https://klasma.github.io/Logging_0781/kartor_geotiff/A 51284-2021 georefererad karta.tif", "A 51284-2021")</f>
        <v/>
      </c>
      <c r="AA126">
        <f>HYPERLINK("https://klasma.github.io/Logging_0781/klagomål/A 51284-2021 FSC-klagomål.docx", "A 51284-2021")</f>
        <v/>
      </c>
      <c r="AB126">
        <f>HYPERLINK("https://klasma.github.io/Logging_0781/klagomålsmail/A 51284-2021 FSC-klagomål mail.docx", "A 51284-2021")</f>
        <v/>
      </c>
      <c r="AC126">
        <f>HYPERLINK("https://klasma.github.io/Logging_0781/tillsyn/A 51284-2021 tillsynsbegäran.docx", "A 51284-2021")</f>
        <v/>
      </c>
      <c r="AD126">
        <f>HYPERLINK("https://klasma.github.io/Logging_0781/tillsynsmail/A 51284-2021 tillsynsbegäran mail.docx", "A 51284-2021")</f>
        <v/>
      </c>
      <c r="AE126">
        <f>HYPERLINK("https://klasma.github.io/Logging_0781/fåglar/A 51284-2021 prioriterade fågelarter.docx", "A 51284-2021")</f>
        <v/>
      </c>
    </row>
    <row r="127" ht="15" customHeight="1">
      <c r="A127" t="inlineStr">
        <is>
          <t>A 37188-2025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46236</v>
      </c>
      <c r="F127" t="inlineStr">
        <is>
          <t>KRONOBERGS LÄN</t>
        </is>
      </c>
      <c r="G127" t="inlineStr">
        <is>
          <t>LJUNGBY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Gullpudra</t>
        </is>
      </c>
      <c r="W127">
        <f>HYPERLINK("https://klasma.github.io/Logging_0781/artfynd/A 37188-2025 artfynd.xlsx", "A 37188-2025")</f>
        <v/>
      </c>
      <c r="X127">
        <f>HYPERLINK("https://klasma.github.io/Logging_0781/kartor/A 37188-2025 karta.png", "A 37188-2025")</f>
        <v/>
      </c>
      <c r="Y127">
        <f>HYPERLINK("https://klasma.github.io/Logging_0781/kartor_geotiff/A 37188-2025 georefererad karta.tif", "A 37188-2025")</f>
        <v/>
      </c>
      <c r="AA127">
        <f>HYPERLINK("https://klasma.github.io/Logging_0781/klagomål/A 37188-2025 FSC-klagomål.docx", "A 37188-2025")</f>
        <v/>
      </c>
      <c r="AB127">
        <f>HYPERLINK("https://klasma.github.io/Logging_0781/klagomålsmail/A 37188-2025 FSC-klagomål mail.docx", "A 37188-2025")</f>
        <v/>
      </c>
      <c r="AC127">
        <f>HYPERLINK("https://klasma.github.io/Logging_0781/tillsyn/A 37188-2025 tillsynsbegäran.docx", "A 37188-2025")</f>
        <v/>
      </c>
      <c r="AD127">
        <f>HYPERLINK("https://klasma.github.io/Logging_0781/tillsynsmail/A 37188-2025 tillsynsbegäran mail.docx", "A 37188-2025")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46236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46236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46236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46236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46236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46236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46236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46236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46236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46236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46236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46236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46236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46236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46236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46236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46236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46236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46236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52962-2021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44467</v>
      </c>
      <c r="E147" s="1" t="n">
        <v>46236</v>
      </c>
      <c r="F147" t="inlineStr">
        <is>
          <t>KRONOBERGS LÄN</t>
        </is>
      </c>
      <c r="G147" t="inlineStr">
        <is>
          <t>LJUNGBY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46236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10295-2022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46236</v>
      </c>
      <c r="F149" t="inlineStr">
        <is>
          <t>KRONOBERGS LÄN</t>
        </is>
      </c>
      <c r="G149" t="inlineStr">
        <is>
          <t>LJUNGBY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38872-2021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44410</v>
      </c>
      <c r="E150" s="1" t="n">
        <v>46236</v>
      </c>
      <c r="F150" t="inlineStr">
        <is>
          <t>KRONOBERGS LÄN</t>
        </is>
      </c>
      <c r="G150" t="inlineStr">
        <is>
          <t>LJUNGBY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46236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46236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44441</v>
      </c>
      <c r="E153" s="1" t="n">
        <v>46236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46236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46236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46236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46236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46236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46236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46236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46236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46236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46236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46236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46236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46236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46236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46236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46236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46236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44749</v>
      </c>
      <c r="E174" s="1" t="n">
        <v>46236</v>
      </c>
      <c r="F174" t="inlineStr">
        <is>
          <t>KRONOBERGS LÄN</t>
        </is>
      </c>
      <c r="G174" t="inlineStr">
        <is>
          <t>LJUNGBY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46236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46236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46236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46236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46236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46236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46236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46236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46236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46236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46236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46236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46236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46236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46236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46236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46236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46236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46236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46236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46236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46236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46236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46236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46236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46236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46236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46236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46236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46236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46236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46236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46236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46236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46236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46236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46236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46236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46236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46236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46236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46236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46236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48214-2021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46236</v>
      </c>
      <c r="F218" t="inlineStr">
        <is>
          <t>KRONOBERGS LÄN</t>
        </is>
      </c>
      <c r="G218" t="inlineStr">
        <is>
          <t>LJUNGBY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46236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46236</v>
      </c>
      <c r="F220" t="inlineStr">
        <is>
          <t>KRONOBERGS LÄN</t>
        </is>
      </c>
      <c r="G220" t="inlineStr">
        <is>
          <t>LJUNGBY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46236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42534-2022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44831</v>
      </c>
      <c r="E222" s="1" t="n">
        <v>46236</v>
      </c>
      <c r="F222" t="inlineStr">
        <is>
          <t>KRONOBERGS LÄN</t>
        </is>
      </c>
      <c r="G222" t="inlineStr">
        <is>
          <t>LJUNGBY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46236</v>
      </c>
      <c r="F223" t="inlineStr">
        <is>
          <t>KRONOBERGS LÄN</t>
        </is>
      </c>
      <c r="G223" t="inlineStr">
        <is>
          <t>LJUNGBY</t>
        </is>
      </c>
      <c r="H223" t="inlineStr">
        <is>
          <t>Kyrkan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46236</v>
      </c>
      <c r="F224" t="inlineStr">
        <is>
          <t>KRONOBERGS LÄN</t>
        </is>
      </c>
      <c r="G224" t="inlineStr">
        <is>
          <t>LJUNGBY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46236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44620</v>
      </c>
      <c r="E226" s="1" t="n">
        <v>46236</v>
      </c>
      <c r="F226" t="inlineStr">
        <is>
          <t>KRONOBERGS LÄN</t>
        </is>
      </c>
      <c r="G226" t="inlineStr">
        <is>
          <t>LJUNGBY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46236</v>
      </c>
      <c r="F227" t="inlineStr">
        <is>
          <t>KRONOBERGS LÄN</t>
        </is>
      </c>
      <c r="G227" t="inlineStr">
        <is>
          <t>LJUNGBY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46236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46236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46236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46236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39324-2022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44817</v>
      </c>
      <c r="E232" s="1" t="n">
        <v>46236</v>
      </c>
      <c r="F232" t="inlineStr">
        <is>
          <t>KRONOBERGS LÄN</t>
        </is>
      </c>
      <c r="G232" t="inlineStr">
        <is>
          <t>LJUNGBY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70744-2021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46236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46236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44610</v>
      </c>
      <c r="E235" s="1" t="n">
        <v>46236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44810</v>
      </c>
      <c r="E236" s="1" t="n">
        <v>46236</v>
      </c>
      <c r="F236" t="inlineStr">
        <is>
          <t>KRONOBERGS LÄN</t>
        </is>
      </c>
      <c r="G236" t="inlineStr">
        <is>
          <t>LJUNGBY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46236</v>
      </c>
      <c r="F237" t="inlineStr">
        <is>
          <t>KRONOBERGS LÄN</t>
        </is>
      </c>
      <c r="G237" t="inlineStr">
        <is>
          <t>LJUNGBY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44850</v>
      </c>
      <c r="E238" s="1" t="n">
        <v>46236</v>
      </c>
      <c r="F238" t="inlineStr">
        <is>
          <t>KRONOBERGS LÄN</t>
        </is>
      </c>
      <c r="G238" t="inlineStr">
        <is>
          <t>LJUNGBY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39895-2021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46236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45339</v>
      </c>
      <c r="E240" s="1" t="n">
        <v>46236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46236</v>
      </c>
      <c r="F241" t="inlineStr">
        <is>
          <t>KRONOBERGS LÄN</t>
        </is>
      </c>
      <c r="G241" t="inlineStr">
        <is>
          <t>LJUNGBY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46236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44938</v>
      </c>
      <c r="E243" s="1" t="n">
        <v>46236</v>
      </c>
      <c r="F243" t="inlineStr">
        <is>
          <t>KRONOBERGS LÄN</t>
        </is>
      </c>
      <c r="G243" t="inlineStr">
        <is>
          <t>LJUNGBY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45509</v>
      </c>
      <c r="E244" s="1" t="n">
        <v>46236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44715</v>
      </c>
      <c r="E245" s="1" t="n">
        <v>46236</v>
      </c>
      <c r="F245" t="inlineStr">
        <is>
          <t>KRONOBERGS LÄN</t>
        </is>
      </c>
      <c r="G245" t="inlineStr">
        <is>
          <t>LJUNGBY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46236</v>
      </c>
      <c r="F246" t="inlineStr">
        <is>
          <t>KRONOBERGS LÄN</t>
        </is>
      </c>
      <c r="G246" t="inlineStr">
        <is>
          <t>LJUNGBY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69120-2021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46236</v>
      </c>
      <c r="F247" t="inlineStr">
        <is>
          <t>KRONOBERGS LÄN</t>
        </is>
      </c>
      <c r="G247" t="inlineStr">
        <is>
          <t>LJUNGBY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46236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46236</v>
      </c>
      <c r="F249" t="inlineStr">
        <is>
          <t>KRONOBERGS LÄN</t>
        </is>
      </c>
      <c r="G249" t="inlineStr">
        <is>
          <t>LJUNGBY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46236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60890-2021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44497</v>
      </c>
      <c r="E251" s="1" t="n">
        <v>46236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44945</v>
      </c>
      <c r="E252" s="1" t="n">
        <v>46236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45476</v>
      </c>
      <c r="E253" s="1" t="n">
        <v>46236</v>
      </c>
      <c r="F253" t="inlineStr">
        <is>
          <t>KRONOBERGS LÄN</t>
        </is>
      </c>
      <c r="G253" t="inlineStr">
        <is>
          <t>LJUNGBY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60276-2021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44495</v>
      </c>
      <c r="E254" s="1" t="n">
        <v>46236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46236</v>
      </c>
      <c r="F255" t="inlineStr">
        <is>
          <t>KRONOBERGS LÄN</t>
        </is>
      </c>
      <c r="G255" t="inlineStr">
        <is>
          <t>LJUNGBY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46236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46236</v>
      </c>
      <c r="F257" t="inlineStr">
        <is>
          <t>KRONOBERGS LÄN</t>
        </is>
      </c>
      <c r="G257" t="inlineStr">
        <is>
          <t>LJUNGBY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37335-2022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44809</v>
      </c>
      <c r="E258" s="1" t="n">
        <v>46236</v>
      </c>
      <c r="F258" t="inlineStr">
        <is>
          <t>KRONOBERGS LÄN</t>
        </is>
      </c>
      <c r="G258" t="inlineStr">
        <is>
          <t>LJUNGBY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46236</v>
      </c>
      <c r="F259" t="inlineStr">
        <is>
          <t>KRONOBERGS LÄN</t>
        </is>
      </c>
      <c r="G259" t="inlineStr">
        <is>
          <t>LJUNGBY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46236</v>
      </c>
      <c r="F260" t="inlineStr">
        <is>
          <t>KRONOBERGS LÄN</t>
        </is>
      </c>
      <c r="G260" t="inlineStr">
        <is>
          <t>LJUNGBY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46236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45672</v>
      </c>
      <c r="E262" s="1" t="n">
        <v>46236</v>
      </c>
      <c r="F262" t="inlineStr">
        <is>
          <t>KRONOBERGS LÄN</t>
        </is>
      </c>
      <c r="G262" t="inlineStr">
        <is>
          <t>LJUNGBY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46236</v>
      </c>
      <c r="F263" t="inlineStr">
        <is>
          <t>KRONOBERGS LÄN</t>
        </is>
      </c>
      <c r="G263" t="inlineStr">
        <is>
          <t>LJUNGBY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46236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46236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67204-2021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46236</v>
      </c>
      <c r="F266" t="inlineStr">
        <is>
          <t>KRONOBERGS LÄN</t>
        </is>
      </c>
      <c r="G266" t="inlineStr">
        <is>
          <t>LJUNGBY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44819</v>
      </c>
      <c r="E267" s="1" t="n">
        <v>46236</v>
      </c>
      <c r="F267" t="inlineStr">
        <is>
          <t>KRONOBERGS LÄN</t>
        </is>
      </c>
      <c r="G267" t="inlineStr">
        <is>
          <t>LJUNGBY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30764-2022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44764</v>
      </c>
      <c r="E268" s="1" t="n">
        <v>46236</v>
      </c>
      <c r="F268" t="inlineStr">
        <is>
          <t>KRONOBERGS LÄN</t>
        </is>
      </c>
      <c r="G268" t="inlineStr">
        <is>
          <t>LJUNGBY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46236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46236</v>
      </c>
      <c r="F270" t="inlineStr">
        <is>
          <t>KRONOBERGS LÄN</t>
        </is>
      </c>
      <c r="G270" t="inlineStr">
        <is>
          <t>LJUNGBY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45272</v>
      </c>
      <c r="E271" s="1" t="n">
        <v>46236</v>
      </c>
      <c r="F271" t="inlineStr">
        <is>
          <t>KRONOBERGS LÄN</t>
        </is>
      </c>
      <c r="G271" t="inlineStr">
        <is>
          <t>LJUNGBY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46236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46236</v>
      </c>
      <c r="F273" t="inlineStr">
        <is>
          <t>KRONOBERGS LÄN</t>
        </is>
      </c>
      <c r="G273" t="inlineStr">
        <is>
          <t>LJUNGBY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46236</v>
      </c>
      <c r="F274" t="inlineStr">
        <is>
          <t>KRONOBERGS LÄN</t>
        </is>
      </c>
      <c r="G274" t="inlineStr">
        <is>
          <t>LJUNGBY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46236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44345-2021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44435</v>
      </c>
      <c r="E276" s="1" t="n">
        <v>46236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44915</v>
      </c>
      <c r="E277" s="1" t="n">
        <v>46236</v>
      </c>
      <c r="F277" t="inlineStr">
        <is>
          <t>KRONOBERGS LÄN</t>
        </is>
      </c>
      <c r="G277" t="inlineStr">
        <is>
          <t>LJUNGBY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57952-2022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46236</v>
      </c>
      <c r="F278" t="inlineStr">
        <is>
          <t>KRONOBERGS LÄN</t>
        </is>
      </c>
      <c r="G278" t="inlineStr">
        <is>
          <t>LJUNGBY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46236</v>
      </c>
      <c r="F279" t="inlineStr">
        <is>
          <t>KRONOBERGS LÄN</t>
        </is>
      </c>
      <c r="G279" t="inlineStr">
        <is>
          <t>LJUNGBY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64358-2023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46236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46236</v>
      </c>
      <c r="F281" t="inlineStr">
        <is>
          <t>KRONOBERGS LÄN</t>
        </is>
      </c>
      <c r="G281" t="inlineStr">
        <is>
          <t>LJUNGBY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40963-2022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46236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45324</v>
      </c>
      <c r="E283" s="1" t="n">
        <v>46236</v>
      </c>
      <c r="F283" t="inlineStr">
        <is>
          <t>KRONOBERGS LÄN</t>
        </is>
      </c>
      <c r="G283" t="inlineStr">
        <is>
          <t>LJUNGBY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46236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45357</v>
      </c>
      <c r="E285" s="1" t="n">
        <v>46236</v>
      </c>
      <c r="F285" t="inlineStr">
        <is>
          <t>KRONOBERGS LÄN</t>
        </is>
      </c>
      <c r="G285" t="inlineStr">
        <is>
          <t>LJUNGBY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44657</v>
      </c>
      <c r="E286" s="1" t="n">
        <v>46236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45089</v>
      </c>
      <c r="E287" s="1" t="n">
        <v>46236</v>
      </c>
      <c r="F287" t="inlineStr">
        <is>
          <t>KRONOBERGS LÄN</t>
        </is>
      </c>
      <c r="G287" t="inlineStr">
        <is>
          <t>LJUNGBY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45085</v>
      </c>
      <c r="E288" s="1" t="n">
        <v>46236</v>
      </c>
      <c r="F288" t="inlineStr">
        <is>
          <t>KRONOBERGS LÄN</t>
        </is>
      </c>
      <c r="G288" t="inlineStr">
        <is>
          <t>LJUNGBY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45137</v>
      </c>
      <c r="E289" s="1" t="n">
        <v>46236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46236</v>
      </c>
      <c r="F290" t="inlineStr">
        <is>
          <t>KRONOBERGS LÄN</t>
        </is>
      </c>
      <c r="G290" t="inlineStr">
        <is>
          <t>LJUNGBY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44874</v>
      </c>
      <c r="E291" s="1" t="n">
        <v>46236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45441</v>
      </c>
      <c r="E292" s="1" t="n">
        <v>46236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45702</v>
      </c>
      <c r="E293" s="1" t="n">
        <v>46236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46236</v>
      </c>
      <c r="F294" t="inlineStr">
        <is>
          <t>KRONOBERGS LÄN</t>
        </is>
      </c>
      <c r="G294" t="inlineStr">
        <is>
          <t>LJUNGBY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46236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44928</v>
      </c>
      <c r="E296" s="1" t="n">
        <v>46236</v>
      </c>
      <c r="F296" t="inlineStr">
        <is>
          <t>KRONOBERGS LÄN</t>
        </is>
      </c>
      <c r="G296" t="inlineStr">
        <is>
          <t>LJUNGBY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46902-2021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44446</v>
      </c>
      <c r="E297" s="1" t="n">
        <v>46236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46236</v>
      </c>
      <c r="F298" t="inlineStr">
        <is>
          <t>KRONOBERGS LÄN</t>
        </is>
      </c>
      <c r="G298" t="inlineStr">
        <is>
          <t>LJUNGBY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46236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46236</v>
      </c>
      <c r="F300" t="inlineStr">
        <is>
          <t>KRONOBERGS LÄN</t>
        </is>
      </c>
      <c r="G300" t="inlineStr">
        <is>
          <t>LJUNGBY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41421-2021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44424</v>
      </c>
      <c r="E301" s="1" t="n">
        <v>46236</v>
      </c>
      <c r="F301" t="inlineStr">
        <is>
          <t>KRONOBERGS LÄN</t>
        </is>
      </c>
      <c r="G301" t="inlineStr">
        <is>
          <t>LJUNGBY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46236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37721-2022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46236</v>
      </c>
      <c r="F303" t="inlineStr">
        <is>
          <t>KRONOBERGS LÄN</t>
        </is>
      </c>
      <c r="G303" t="inlineStr">
        <is>
          <t>LJUNGBY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46236</v>
      </c>
      <c r="F304" t="inlineStr">
        <is>
          <t>KRONOBERGS LÄN</t>
        </is>
      </c>
      <c r="G304" t="inlineStr">
        <is>
          <t>LJUNGBY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46236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46236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46236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46236</v>
      </c>
      <c r="F308" t="inlineStr">
        <is>
          <t>KRONOBERGS LÄN</t>
        </is>
      </c>
      <c r="G308" t="inlineStr">
        <is>
          <t>LJUNGBY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46236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46236</v>
      </c>
      <c r="F310" t="inlineStr">
        <is>
          <t>KRONOBERGS LÄN</t>
        </is>
      </c>
      <c r="G310" t="inlineStr">
        <is>
          <t>LJUNGBY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44895</v>
      </c>
      <c r="E311" s="1" t="n">
        <v>46236</v>
      </c>
      <c r="F311" t="inlineStr">
        <is>
          <t>KRONOBERGS LÄN</t>
        </is>
      </c>
      <c r="G311" t="inlineStr">
        <is>
          <t>LJUNGBY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46236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46236</v>
      </c>
      <c r="F313" t="inlineStr">
        <is>
          <t>KRONOBERGS LÄN</t>
        </is>
      </c>
      <c r="G313" t="inlineStr">
        <is>
          <t>LJUNGBY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46236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46236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46236</v>
      </c>
      <c r="F316" t="inlineStr">
        <is>
          <t>KRONOBERGS LÄN</t>
        </is>
      </c>
      <c r="G316" t="inlineStr">
        <is>
          <t>LJUNGBY</t>
        </is>
      </c>
      <c r="H316" t="inlineStr">
        <is>
          <t>Kyrkan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46236</v>
      </c>
      <c r="F317" t="inlineStr">
        <is>
          <t>KRONOBERGS LÄN</t>
        </is>
      </c>
      <c r="G317" t="inlineStr">
        <is>
          <t>LJUNGBY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46236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45748</v>
      </c>
      <c r="E319" s="1" t="n">
        <v>46236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33114-2023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45126</v>
      </c>
      <c r="E320" s="1" t="n">
        <v>46236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73549-2021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44551</v>
      </c>
      <c r="E321" s="1" t="n">
        <v>46236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46236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46236</v>
      </c>
      <c r="F323" t="inlineStr">
        <is>
          <t>KRONOBERGS LÄN</t>
        </is>
      </c>
      <c r="G323" t="inlineStr">
        <is>
          <t>LJUNGBY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46236</v>
      </c>
      <c r="F324" t="inlineStr">
        <is>
          <t>KRONOBERGS LÄN</t>
        </is>
      </c>
      <c r="G324" t="inlineStr">
        <is>
          <t>LJUNGBY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44946</v>
      </c>
      <c r="E325" s="1" t="n">
        <v>46236</v>
      </c>
      <c r="F325" t="inlineStr">
        <is>
          <t>KRONOBERGS LÄN</t>
        </is>
      </c>
      <c r="G325" t="inlineStr">
        <is>
          <t>LJUNGBY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46236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46236</v>
      </c>
      <c r="F327" t="inlineStr">
        <is>
          <t>KRONOBERGS LÄN</t>
        </is>
      </c>
      <c r="G327" t="inlineStr">
        <is>
          <t>LJUNGBY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46236</v>
      </c>
      <c r="F328" t="inlineStr">
        <is>
          <t>KRONOBERGS LÄN</t>
        </is>
      </c>
      <c r="G328" t="inlineStr">
        <is>
          <t>LJUNGBY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46236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45350</v>
      </c>
      <c r="E330" s="1" t="n">
        <v>46236</v>
      </c>
      <c r="F330" t="inlineStr">
        <is>
          <t>KRONOBERGS LÄN</t>
        </is>
      </c>
      <c r="G330" t="inlineStr">
        <is>
          <t>LJUNGBY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45350</v>
      </c>
      <c r="E331" s="1" t="n">
        <v>46236</v>
      </c>
      <c r="F331" t="inlineStr">
        <is>
          <t>KRONOBERGS LÄN</t>
        </is>
      </c>
      <c r="G331" t="inlineStr">
        <is>
          <t>LJUNGBY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46236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46236</v>
      </c>
      <c r="F333" t="inlineStr">
        <is>
          <t>KRONOBERGS LÄN</t>
        </is>
      </c>
      <c r="G333" t="inlineStr">
        <is>
          <t>LJUNGBY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46236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46236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58010-2021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44487</v>
      </c>
      <c r="E336" s="1" t="n">
        <v>46236</v>
      </c>
      <c r="F336" t="inlineStr">
        <is>
          <t>KRONOBERGS LÄN</t>
        </is>
      </c>
      <c r="G336" t="inlineStr">
        <is>
          <t>LJUNGBY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45562</v>
      </c>
      <c r="E337" s="1" t="n">
        <v>46236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46236</v>
      </c>
      <c r="F338" t="inlineStr">
        <is>
          <t>KRONOBERGS LÄN</t>
        </is>
      </c>
      <c r="G338" t="inlineStr">
        <is>
          <t>LJUNGBY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44823</v>
      </c>
      <c r="E339" s="1" t="n">
        <v>46236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46236</v>
      </c>
      <c r="F340" t="inlineStr">
        <is>
          <t>KRONOBERGS LÄN</t>
        </is>
      </c>
      <c r="G340" t="inlineStr">
        <is>
          <t>LJUNGBY</t>
        </is>
      </c>
      <c r="H340" t="inlineStr">
        <is>
          <t>Kommuner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30103-2025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45826</v>
      </c>
      <c r="E341" s="1" t="n">
        <v>46236</v>
      </c>
      <c r="F341" t="inlineStr">
        <is>
          <t>KRONOBERGS LÄN</t>
        </is>
      </c>
      <c r="G341" t="inlineStr">
        <is>
          <t>LJUNGBY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46236</v>
      </c>
      <c r="F342" t="inlineStr">
        <is>
          <t>KRONOBERGS LÄN</t>
        </is>
      </c>
      <c r="G342" t="inlineStr">
        <is>
          <t>LJUNGBY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46236</v>
      </c>
      <c r="F343" t="inlineStr">
        <is>
          <t>KRONOBERGS LÄN</t>
        </is>
      </c>
      <c r="G343" t="inlineStr">
        <is>
          <t>LJUNGBY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44942</v>
      </c>
      <c r="E344" s="1" t="n">
        <v>46236</v>
      </c>
      <c r="F344" t="inlineStr">
        <is>
          <t>KRONOBERGS LÄN</t>
        </is>
      </c>
      <c r="G344" t="inlineStr">
        <is>
          <t>LJUNGBY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46236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46236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46236</v>
      </c>
      <c r="F347" t="inlineStr">
        <is>
          <t>KRONOBERGS LÄN</t>
        </is>
      </c>
      <c r="G347" t="inlineStr">
        <is>
          <t>LJUNGBY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46236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46236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46236</v>
      </c>
      <c r="F350" t="inlineStr">
        <is>
          <t>KRONOBERGS LÄN</t>
        </is>
      </c>
      <c r="G350" t="inlineStr">
        <is>
          <t>LJUNGBY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45764</v>
      </c>
      <c r="E351" s="1" t="n">
        <v>46236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46236</v>
      </c>
      <c r="F352" t="inlineStr">
        <is>
          <t>KRONOBERGS LÄN</t>
        </is>
      </c>
      <c r="G352" t="inlineStr">
        <is>
          <t>LJUNGBY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45604</v>
      </c>
      <c r="E353" s="1" t="n">
        <v>46236</v>
      </c>
      <c r="F353" t="inlineStr">
        <is>
          <t>KRONOBERGS LÄN</t>
        </is>
      </c>
      <c r="G353" t="inlineStr">
        <is>
          <t>LJUNGBY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33122-2023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45126</v>
      </c>
      <c r="E354" s="1" t="n">
        <v>46236</v>
      </c>
      <c r="F354" t="inlineStr">
        <is>
          <t>KRONOBERGS LÄN</t>
        </is>
      </c>
      <c r="G354" t="inlineStr">
        <is>
          <t>LJUNGBY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46236</v>
      </c>
      <c r="F355" t="inlineStr">
        <is>
          <t>KRONOBERGS LÄN</t>
        </is>
      </c>
      <c r="G355" t="inlineStr">
        <is>
          <t>LJUNGBY</t>
        </is>
      </c>
      <c r="I355" t="n">
        <v>11.4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45212</v>
      </c>
      <c r="E356" s="1" t="n">
        <v>46236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46236</v>
      </c>
      <c r="F357" t="inlineStr">
        <is>
          <t>KRONOBERGS LÄN</t>
        </is>
      </c>
      <c r="G357" t="inlineStr">
        <is>
          <t>LJUNGBY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46236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46236</v>
      </c>
      <c r="F359" t="inlineStr">
        <is>
          <t>KRONOBERGS LÄN</t>
        </is>
      </c>
      <c r="G359" t="inlineStr">
        <is>
          <t>LJUNGBY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46236</v>
      </c>
      <c r="F360" t="inlineStr">
        <is>
          <t>KRONOBERGS LÄN</t>
        </is>
      </c>
      <c r="G360" t="inlineStr">
        <is>
          <t>LJUNGBY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46236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16241-2022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44670</v>
      </c>
      <c r="E362" s="1" t="n">
        <v>46236</v>
      </c>
      <c r="F362" t="inlineStr">
        <is>
          <t>KRONOBERGS LÄN</t>
        </is>
      </c>
      <c r="G362" t="inlineStr">
        <is>
          <t>LJUNGBY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46236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45902</v>
      </c>
      <c r="E364" s="1" t="n">
        <v>46236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57737-2023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45246</v>
      </c>
      <c r="E365" s="1" t="n">
        <v>46236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45679</v>
      </c>
      <c r="E366" s="1" t="n">
        <v>46236</v>
      </c>
      <c r="F366" t="inlineStr">
        <is>
          <t>KRONOBERGS LÄN</t>
        </is>
      </c>
      <c r="G366" t="inlineStr">
        <is>
          <t>LJUNGBY</t>
        </is>
      </c>
      <c r="I366" t="n">
        <v>20.8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46236</v>
      </c>
      <c r="F367" t="inlineStr">
        <is>
          <t>KRONOBERGS LÄN</t>
        </is>
      </c>
      <c r="G367" t="inlineStr">
        <is>
          <t>LJUNGBY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45226</v>
      </c>
      <c r="E368" s="1" t="n">
        <v>46236</v>
      </c>
      <c r="F368" t="inlineStr">
        <is>
          <t>KRONOBERGS LÄN</t>
        </is>
      </c>
      <c r="G368" t="inlineStr">
        <is>
          <t>LJUNGBY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46236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45475</v>
      </c>
      <c r="E370" s="1" t="n">
        <v>46236</v>
      </c>
      <c r="F370" t="inlineStr">
        <is>
          <t>KRONOBERGS LÄN</t>
        </is>
      </c>
      <c r="G370" t="inlineStr">
        <is>
          <t>LJUNGBY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45908</v>
      </c>
      <c r="E371" s="1" t="n">
        <v>46236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46236</v>
      </c>
      <c r="F372" t="inlineStr">
        <is>
          <t>KRONOBERGS LÄN</t>
        </is>
      </c>
      <c r="G372" t="inlineStr">
        <is>
          <t>LJUNGBY</t>
        </is>
      </c>
      <c r="I372" t="n">
        <v>10.3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39754-2023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45167</v>
      </c>
      <c r="E373" s="1" t="n">
        <v>46236</v>
      </c>
      <c r="F373" t="inlineStr">
        <is>
          <t>KRONOBERGS LÄN</t>
        </is>
      </c>
      <c r="G373" t="inlineStr">
        <is>
          <t>LJUNGBY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46236</v>
      </c>
      <c r="F374" t="inlineStr">
        <is>
          <t>KRONOBERGS LÄN</t>
        </is>
      </c>
      <c r="G374" t="inlineStr">
        <is>
          <t>LJUNGBY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46139</v>
      </c>
      <c r="E375" s="1" t="n">
        <v>46236</v>
      </c>
      <c r="F375" t="inlineStr">
        <is>
          <t>KRONOBERGS LÄN</t>
        </is>
      </c>
      <c r="G375" t="inlineStr">
        <is>
          <t>LJUNGBY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46236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46236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46236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45910</v>
      </c>
      <c r="E379" s="1" t="n">
        <v>46236</v>
      </c>
      <c r="F379" t="inlineStr">
        <is>
          <t>KRONOBERGS LÄN</t>
        </is>
      </c>
      <c r="G379" t="inlineStr">
        <is>
          <t>LJUNGBY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20335-2026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46139</v>
      </c>
      <c r="E380" s="1" t="n">
        <v>46236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45707</v>
      </c>
      <c r="E381" s="1" t="n">
        <v>46236</v>
      </c>
      <c r="F381" t="inlineStr">
        <is>
          <t>KRONOBERGS LÄN</t>
        </is>
      </c>
      <c r="G381" t="inlineStr">
        <is>
          <t>LJUNGBY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46236</v>
      </c>
      <c r="F382" t="inlineStr">
        <is>
          <t>KRONOBERGS LÄN</t>
        </is>
      </c>
      <c r="G382" t="inlineStr">
        <is>
          <t>LJUNGBY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46236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46236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46236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1384-2022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44573</v>
      </c>
      <c r="E386" s="1" t="n">
        <v>46236</v>
      </c>
      <c r="F386" t="inlineStr">
        <is>
          <t>KRONOBERGS LÄN</t>
        </is>
      </c>
      <c r="G386" t="inlineStr">
        <is>
          <t>LJUNGBY</t>
        </is>
      </c>
      <c r="H386" t="inlineStr">
        <is>
          <t>Kommuner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46236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46236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45876</v>
      </c>
      <c r="E389" s="1" t="n">
        <v>46236</v>
      </c>
      <c r="F389" t="inlineStr">
        <is>
          <t>KRONOBERGS LÄN</t>
        </is>
      </c>
      <c r="G389" t="inlineStr">
        <is>
          <t>LJUNGBY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46236</v>
      </c>
      <c r="F390" t="inlineStr">
        <is>
          <t>KRONOBERGS LÄN</t>
        </is>
      </c>
      <c r="G390" t="inlineStr">
        <is>
          <t>LJUNGBY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46236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46236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46236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46236</v>
      </c>
      <c r="F394" t="inlineStr">
        <is>
          <t>KRONOBERGS LÄN</t>
        </is>
      </c>
      <c r="G394" t="inlineStr">
        <is>
          <t>LJUNGBY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21484-2024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45441</v>
      </c>
      <c r="E395" s="1" t="n">
        <v>46236</v>
      </c>
      <c r="F395" t="inlineStr">
        <is>
          <t>KRONOBERGS LÄN</t>
        </is>
      </c>
      <c r="G395" t="inlineStr">
        <is>
          <t>LJUNGBY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45914</v>
      </c>
      <c r="E396" s="1" t="n">
        <v>46236</v>
      </c>
      <c r="F396" t="inlineStr">
        <is>
          <t>KRONOBERGS LÄN</t>
        </is>
      </c>
      <c r="G396" t="inlineStr">
        <is>
          <t>LJUNGBY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46236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46236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46236</v>
      </c>
      <c r="F399" t="inlineStr">
        <is>
          <t>KRONOBERGS LÄN</t>
        </is>
      </c>
      <c r="G399" t="inlineStr">
        <is>
          <t>LJUNGBY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46236</v>
      </c>
      <c r="F400" t="inlineStr">
        <is>
          <t>KRONOBERGS LÄN</t>
        </is>
      </c>
      <c r="G400" t="inlineStr">
        <is>
          <t>LJUNGBY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45205</v>
      </c>
      <c r="E401" s="1" t="n">
        <v>46236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48243-2023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45205</v>
      </c>
      <c r="E402" s="1" t="n">
        <v>46236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46236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44945</v>
      </c>
      <c r="E404" s="1" t="n">
        <v>46236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45917</v>
      </c>
      <c r="E405" s="1" t="n">
        <v>46236</v>
      </c>
      <c r="F405" t="inlineStr">
        <is>
          <t>KRONOBERGS LÄN</t>
        </is>
      </c>
      <c r="G405" t="inlineStr">
        <is>
          <t>LJUNGBY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46236</v>
      </c>
      <c r="F406" t="inlineStr">
        <is>
          <t>KRONOBERGS LÄN</t>
        </is>
      </c>
      <c r="G406" t="inlineStr">
        <is>
          <t>LJUNGBY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46236</v>
      </c>
      <c r="F407" t="inlineStr">
        <is>
          <t>KRONOBERGS LÄN</t>
        </is>
      </c>
      <c r="G407" t="inlineStr">
        <is>
          <t>LJUNGBY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45476</v>
      </c>
      <c r="E408" s="1" t="n">
        <v>46236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56387-2023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45243</v>
      </c>
      <c r="E409" s="1" t="n">
        <v>46236</v>
      </c>
      <c r="F409" t="inlineStr">
        <is>
          <t>KRONOBERGS LÄN</t>
        </is>
      </c>
      <c r="G409" t="inlineStr">
        <is>
          <t>LJUNGBY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45644</v>
      </c>
      <c r="E410" s="1" t="n">
        <v>46236</v>
      </c>
      <c r="F410" t="inlineStr">
        <is>
          <t>KRONOBERGS LÄN</t>
        </is>
      </c>
      <c r="G410" t="inlineStr">
        <is>
          <t>LJUNGBY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27006-2022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44740</v>
      </c>
      <c r="E411" s="1" t="n">
        <v>46236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46236</v>
      </c>
      <c r="F412" t="inlineStr">
        <is>
          <t>KRONOBERGS LÄN</t>
        </is>
      </c>
      <c r="G412" t="inlineStr">
        <is>
          <t>LJUNGBY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46236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46236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46236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45928-2025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46236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46236</v>
      </c>
      <c r="F417" t="inlineStr">
        <is>
          <t>KRONOBERGS LÄN</t>
        </is>
      </c>
      <c r="G417" t="inlineStr">
        <is>
          <t>LJUNGBY</t>
        </is>
      </c>
      <c r="H417" t="inlineStr">
        <is>
          <t>Kommuner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44809</v>
      </c>
      <c r="E418" s="1" t="n">
        <v>46236</v>
      </c>
      <c r="F418" t="inlineStr">
        <is>
          <t>KRONOBERGS LÄN</t>
        </is>
      </c>
      <c r="G418" t="inlineStr">
        <is>
          <t>LJUNGBY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46236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46236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46236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46236</v>
      </c>
      <c r="F422" t="inlineStr">
        <is>
          <t>KRONOBERGS LÄN</t>
        </is>
      </c>
      <c r="G422" t="inlineStr">
        <is>
          <t>LJUNGBY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46236</v>
      </c>
      <c r="F423" t="inlineStr">
        <is>
          <t>KRONOBERGS LÄN</t>
        </is>
      </c>
      <c r="G423" t="inlineStr">
        <is>
          <t>LJUNGBY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46236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46236</v>
      </c>
      <c r="F425" t="inlineStr">
        <is>
          <t>KRONOBERGS LÄN</t>
        </is>
      </c>
      <c r="G425" t="inlineStr">
        <is>
          <t>LJUNGBY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46501-2025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46236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46236</v>
      </c>
      <c r="F427" t="inlineStr">
        <is>
          <t>KRONOBERGS LÄN</t>
        </is>
      </c>
      <c r="G427" t="inlineStr">
        <is>
          <t>LJUNGBY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44634</v>
      </c>
      <c r="E428" s="1" t="n">
        <v>46236</v>
      </c>
      <c r="F428" t="inlineStr">
        <is>
          <t>KRONOBERGS LÄN</t>
        </is>
      </c>
      <c r="G428" t="inlineStr">
        <is>
          <t>LJUNGBY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45093</v>
      </c>
      <c r="E429" s="1" t="n">
        <v>46236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44959</v>
      </c>
      <c r="E430" s="1" t="n">
        <v>46236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46236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46236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46236</v>
      </c>
      <c r="F433" t="inlineStr">
        <is>
          <t>KRONOBERGS LÄN</t>
        </is>
      </c>
      <c r="G433" t="inlineStr">
        <is>
          <t>LJUNGBY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44959</v>
      </c>
      <c r="E434" s="1" t="n">
        <v>46236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46236</v>
      </c>
      <c r="F435" t="inlineStr">
        <is>
          <t>KRONOBERGS LÄN</t>
        </is>
      </c>
      <c r="G435" t="inlineStr">
        <is>
          <t>LJUNGBY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45628</v>
      </c>
      <c r="E436" s="1" t="n">
        <v>46236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46236</v>
      </c>
      <c r="F437" t="inlineStr">
        <is>
          <t>KRONOBERGS LÄN</t>
        </is>
      </c>
      <c r="G437" t="inlineStr">
        <is>
          <t>LJUNGBY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46236</v>
      </c>
      <c r="F438" t="inlineStr">
        <is>
          <t>KRONOBERGS LÄN</t>
        </is>
      </c>
      <c r="G438" t="inlineStr">
        <is>
          <t>LJUNGBY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55282-2024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46236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46236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45842</v>
      </c>
      <c r="E441" s="1" t="n">
        <v>46236</v>
      </c>
      <c r="F441" t="inlineStr">
        <is>
          <t>KRONOBERGS LÄN</t>
        </is>
      </c>
      <c r="G441" t="inlineStr">
        <is>
          <t>LJUNGBY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46236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46236</v>
      </c>
      <c r="F443" t="inlineStr">
        <is>
          <t>KRONOBERGS LÄN</t>
        </is>
      </c>
      <c r="G443" t="inlineStr">
        <is>
          <t>LJUNGBY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45734</v>
      </c>
      <c r="E444" s="1" t="n">
        <v>46236</v>
      </c>
      <c r="F444" t="inlineStr">
        <is>
          <t>KRONOBERGS LÄN</t>
        </is>
      </c>
      <c r="G444" t="inlineStr">
        <is>
          <t>LJUNGBY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46236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46236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46236</v>
      </c>
      <c r="F447" t="inlineStr">
        <is>
          <t>KRONOBERGS LÄN</t>
        </is>
      </c>
      <c r="G447" t="inlineStr">
        <is>
          <t>LJUNGBY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45305</v>
      </c>
      <c r="E448" s="1" t="n">
        <v>46236</v>
      </c>
      <c r="F448" t="inlineStr">
        <is>
          <t>KRONOBERGS LÄN</t>
        </is>
      </c>
      <c r="G448" t="inlineStr">
        <is>
          <t>LJUNGBY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45684</v>
      </c>
      <c r="E449" s="1" t="n">
        <v>46236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51710-2024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45607</v>
      </c>
      <c r="E450" s="1" t="n">
        <v>46236</v>
      </c>
      <c r="F450" t="inlineStr">
        <is>
          <t>KRONOBERGS LÄN</t>
        </is>
      </c>
      <c r="G450" t="inlineStr">
        <is>
          <t>LJUNGBY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46236</v>
      </c>
      <c r="F451" t="inlineStr">
        <is>
          <t>KRONOBERGS LÄN</t>
        </is>
      </c>
      <c r="G451" t="inlineStr">
        <is>
          <t>LJUNGBY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46236</v>
      </c>
      <c r="F452" t="inlineStr">
        <is>
          <t>KRONOBERGS LÄN</t>
        </is>
      </c>
      <c r="G452" t="inlineStr">
        <is>
          <t>LJUNGBY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45323</v>
      </c>
      <c r="E453" s="1" t="n">
        <v>46236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45152</v>
      </c>
      <c r="E454" s="1" t="n">
        <v>46236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46236</v>
      </c>
      <c r="F455" t="inlineStr">
        <is>
          <t>KRONOBERGS LÄN</t>
        </is>
      </c>
      <c r="G455" t="inlineStr">
        <is>
          <t>LJUNGBY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45131</v>
      </c>
      <c r="E456" s="1" t="n">
        <v>46236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46236</v>
      </c>
      <c r="F457" t="inlineStr">
        <is>
          <t>KRONOBERGS LÄN</t>
        </is>
      </c>
      <c r="G457" t="inlineStr">
        <is>
          <t>LJUNGBY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46236</v>
      </c>
      <c r="F458" t="inlineStr">
        <is>
          <t>KRONOBERGS LÄN</t>
        </is>
      </c>
      <c r="G458" t="inlineStr">
        <is>
          <t>LJUNGBY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46236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46236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46236</v>
      </c>
      <c r="F461" t="inlineStr">
        <is>
          <t>KRONOBERGS LÄN</t>
        </is>
      </c>
      <c r="G461" t="inlineStr">
        <is>
          <t>LJUNGBY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46236</v>
      </c>
      <c r="F462" t="inlineStr">
        <is>
          <t>KRONOBERGS LÄN</t>
        </is>
      </c>
      <c r="G462" t="inlineStr">
        <is>
          <t>LJUNGBY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46236</v>
      </c>
      <c r="F463" t="inlineStr">
        <is>
          <t>KRONOBERGS LÄN</t>
        </is>
      </c>
      <c r="G463" t="inlineStr">
        <is>
          <t>LJUNGBY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45945</v>
      </c>
      <c r="E464" s="1" t="n">
        <v>46236</v>
      </c>
      <c r="F464" t="inlineStr">
        <is>
          <t>KRONOBERGS LÄN</t>
        </is>
      </c>
      <c r="G464" t="inlineStr">
        <is>
          <t>LJUNGBY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46236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45757</v>
      </c>
      <c r="E466" s="1" t="n">
        <v>46236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7828-2024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45349</v>
      </c>
      <c r="E467" s="1" t="n">
        <v>46236</v>
      </c>
      <c r="F467" t="inlineStr">
        <is>
          <t>KRONOBERGS LÄN</t>
        </is>
      </c>
      <c r="G467" t="inlineStr">
        <is>
          <t>LJUNGBY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8798-2023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44978</v>
      </c>
      <c r="E468" s="1" t="n">
        <v>46236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46236</v>
      </c>
      <c r="F469" t="inlineStr">
        <is>
          <t>KRONOBERGS LÄN</t>
        </is>
      </c>
      <c r="G469" t="inlineStr">
        <is>
          <t>LJUNGBY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46236</v>
      </c>
      <c r="F470" t="inlineStr">
        <is>
          <t>KRONOBERGS LÄN</t>
        </is>
      </c>
      <c r="G470" t="inlineStr">
        <is>
          <t>LJUNGBY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45509</v>
      </c>
      <c r="E471" s="1" t="n">
        <v>46236</v>
      </c>
      <c r="F471" t="inlineStr">
        <is>
          <t>KRONOBERGS LÄN</t>
        </is>
      </c>
      <c r="G471" t="inlineStr">
        <is>
          <t>LJUNGBY</t>
        </is>
      </c>
      <c r="H471" t="inlineStr">
        <is>
          <t>Sveaskog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44999</v>
      </c>
      <c r="E472" s="1" t="n">
        <v>46236</v>
      </c>
      <c r="F472" t="inlineStr">
        <is>
          <t>KRONOBERGS LÄN</t>
        </is>
      </c>
      <c r="G472" t="inlineStr">
        <is>
          <t>LJUNGBY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45950</v>
      </c>
      <c r="E473" s="1" t="n">
        <v>46236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22123-2022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46236</v>
      </c>
      <c r="F474" t="inlineStr">
        <is>
          <t>KRONOBERGS LÄN</t>
        </is>
      </c>
      <c r="G474" t="inlineStr">
        <is>
          <t>LJUNGBY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46236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44802</v>
      </c>
      <c r="E476" s="1" t="n">
        <v>46236</v>
      </c>
      <c r="F476" t="inlineStr">
        <is>
          <t>KRONOBERGS LÄN</t>
        </is>
      </c>
      <c r="G476" t="inlineStr">
        <is>
          <t>LJUNGBY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46236</v>
      </c>
      <c r="F477" t="inlineStr">
        <is>
          <t>KRONOBERGS LÄN</t>
        </is>
      </c>
      <c r="G477" t="inlineStr">
        <is>
          <t>LJUNGBY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46236</v>
      </c>
      <c r="F478" t="inlineStr">
        <is>
          <t>KRONOBERGS LÄN</t>
        </is>
      </c>
      <c r="G478" t="inlineStr">
        <is>
          <t>LJUNGBY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46236</v>
      </c>
      <c r="F479" t="inlineStr">
        <is>
          <t>KRONOBERGS LÄN</t>
        </is>
      </c>
      <c r="G479" t="inlineStr">
        <is>
          <t>LJUNGBY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27843-2022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44743</v>
      </c>
      <c r="E480" s="1" t="n">
        <v>46236</v>
      </c>
      <c r="F480" t="inlineStr">
        <is>
          <t>KRONOBERGS LÄN</t>
        </is>
      </c>
      <c r="G480" t="inlineStr">
        <is>
          <t>LJUNGBY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44929</v>
      </c>
      <c r="E481" s="1" t="n">
        <v>46236</v>
      </c>
      <c r="F481" t="inlineStr">
        <is>
          <t>KRONOBERGS LÄN</t>
        </is>
      </c>
      <c r="G481" t="inlineStr">
        <is>
          <t>LJUNGBY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46236</v>
      </c>
      <c r="F482" t="inlineStr">
        <is>
          <t>KRONOBERGS LÄN</t>
        </is>
      </c>
      <c r="G482" t="inlineStr">
        <is>
          <t>LJUNGBY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46236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46236</v>
      </c>
      <c r="F484" t="inlineStr">
        <is>
          <t>KRONOBERGS LÄN</t>
        </is>
      </c>
      <c r="G484" t="inlineStr">
        <is>
          <t>LJUNGBY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46236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57467-2024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45630</v>
      </c>
      <c r="E486" s="1" t="n">
        <v>46236</v>
      </c>
      <c r="F486" t="inlineStr">
        <is>
          <t>KRONOBERGS LÄN</t>
        </is>
      </c>
      <c r="G486" t="inlineStr">
        <is>
          <t>LJUNGBY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46236</v>
      </c>
      <c r="F487" t="inlineStr">
        <is>
          <t>KRONOBERGS LÄN</t>
        </is>
      </c>
      <c r="G487" t="inlineStr">
        <is>
          <t>LJUNGBY</t>
        </is>
      </c>
      <c r="I487" t="n">
        <v>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46236</v>
      </c>
      <c r="F488" t="inlineStr">
        <is>
          <t>KRONOBERGS LÄN</t>
        </is>
      </c>
      <c r="G488" t="inlineStr">
        <is>
          <t>LJUNGBY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45888</v>
      </c>
      <c r="E489" s="1" t="n">
        <v>46236</v>
      </c>
      <c r="F489" t="inlineStr">
        <is>
          <t>KRONOBERGS LÄN</t>
        </is>
      </c>
      <c r="G489" t="inlineStr">
        <is>
          <t>LJUNGBY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46236</v>
      </c>
      <c r="F490" t="inlineStr">
        <is>
          <t>KRONOBERGS LÄN</t>
        </is>
      </c>
      <c r="G490" t="inlineStr">
        <is>
          <t>LJUNGBY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46236</v>
      </c>
      <c r="F491" t="inlineStr">
        <is>
          <t>KRONOBERGS LÄN</t>
        </is>
      </c>
      <c r="G491" t="inlineStr">
        <is>
          <t>LJUNGBY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46236</v>
      </c>
      <c r="F492" t="inlineStr">
        <is>
          <t>KRONOBERGS LÄN</t>
        </is>
      </c>
      <c r="G492" t="inlineStr">
        <is>
          <t>LJUNGBY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28819-2026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46236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46236</v>
      </c>
      <c r="F494" t="inlineStr">
        <is>
          <t>KRONOBERGS LÄN</t>
        </is>
      </c>
      <c r="G494" t="inlineStr">
        <is>
          <t>LJUNGBY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53446-2025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45959</v>
      </c>
      <c r="E495" s="1" t="n">
        <v>46236</v>
      </c>
      <c r="F495" t="inlineStr">
        <is>
          <t>KRONOBERGS LÄN</t>
        </is>
      </c>
      <c r="G495" t="inlineStr">
        <is>
          <t>LJUNGBY</t>
        </is>
      </c>
      <c r="H495" t="inlineStr">
        <is>
          <t>Övriga Aktiebolag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53883-2025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46236</v>
      </c>
      <c r="F496" t="inlineStr">
        <is>
          <t>KRONOBERGS LÄN</t>
        </is>
      </c>
      <c r="G496" t="inlineStr">
        <is>
          <t>LJUNGBY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46236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16727-2025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45754</v>
      </c>
      <c r="E498" s="1" t="n">
        <v>46236</v>
      </c>
      <c r="F498" t="inlineStr">
        <is>
          <t>KRONOBERGS LÄN</t>
        </is>
      </c>
      <c r="G498" t="inlineStr">
        <is>
          <t>LJUNGBY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46236</v>
      </c>
      <c r="F499" t="inlineStr">
        <is>
          <t>KRONOBERGS LÄN</t>
        </is>
      </c>
      <c r="G499" t="inlineStr">
        <is>
          <t>LJUNGBY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54259-2025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45964</v>
      </c>
      <c r="E500" s="1" t="n">
        <v>46236</v>
      </c>
      <c r="F500" t="inlineStr">
        <is>
          <t>KRONOBERGS LÄN</t>
        </is>
      </c>
      <c r="G500" t="inlineStr">
        <is>
          <t>LJUNGBY</t>
        </is>
      </c>
      <c r="H500" t="inlineStr">
        <is>
          <t>Kommuner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46236</v>
      </c>
      <c r="F501" t="inlineStr">
        <is>
          <t>KRONOBERGS LÄN</t>
        </is>
      </c>
      <c r="G501" t="inlineStr">
        <is>
          <t>LJUNGBY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54003-2025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46236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46236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46236</v>
      </c>
      <c r="F504" t="inlineStr">
        <is>
          <t>KRONOBERGS LÄN</t>
        </is>
      </c>
      <c r="G504" t="inlineStr">
        <is>
          <t>LJUNGBY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45845</v>
      </c>
      <c r="E505" s="1" t="n">
        <v>46236</v>
      </c>
      <c r="F505" t="inlineStr">
        <is>
          <t>KRONOBERGS LÄN</t>
        </is>
      </c>
      <c r="G505" t="inlineStr">
        <is>
          <t>LJUNGBY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46236</v>
      </c>
      <c r="F506" t="inlineStr">
        <is>
          <t>KRONOBERGS LÄN</t>
        </is>
      </c>
      <c r="G506" t="inlineStr">
        <is>
          <t>LJUNGBY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45510</v>
      </c>
      <c r="E507" s="1" t="n">
        <v>46236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46236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46236</v>
      </c>
      <c r="F509" t="inlineStr">
        <is>
          <t>KRONOBERGS LÄN</t>
        </is>
      </c>
      <c r="G509" t="inlineStr">
        <is>
          <t>LJUNGBY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46154</v>
      </c>
      <c r="E510" s="1" t="n">
        <v>46236</v>
      </c>
      <c r="F510" t="inlineStr">
        <is>
          <t>KRONOBERGS LÄN</t>
        </is>
      </c>
      <c r="G510" t="inlineStr">
        <is>
          <t>LJUNGBY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46236</v>
      </c>
      <c r="F511" t="inlineStr">
        <is>
          <t>KRONOBERGS LÄN</t>
        </is>
      </c>
      <c r="G511" t="inlineStr">
        <is>
          <t>LJUNGBY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46236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46236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46236</v>
      </c>
      <c r="F514" t="inlineStr">
        <is>
          <t>KRONOBERGS LÄN</t>
        </is>
      </c>
      <c r="G514" t="inlineStr">
        <is>
          <t>LJUNGBY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46236</v>
      </c>
      <c r="F515" t="inlineStr">
        <is>
          <t>KRONOBERGS LÄN</t>
        </is>
      </c>
      <c r="G515" t="inlineStr">
        <is>
          <t>LJUNGBY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45224</v>
      </c>
      <c r="E516" s="1" t="n">
        <v>46236</v>
      </c>
      <c r="F516" t="inlineStr">
        <is>
          <t>KRONOBERGS LÄN</t>
        </is>
      </c>
      <c r="G516" t="inlineStr">
        <is>
          <t>LJUNGBY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45749</v>
      </c>
      <c r="E517" s="1" t="n">
        <v>46236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46236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46236</v>
      </c>
      <c r="F519" t="inlineStr">
        <is>
          <t>KRONOBERGS LÄN</t>
        </is>
      </c>
      <c r="G519" t="inlineStr">
        <is>
          <t>LJUNGBY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45035</v>
      </c>
      <c r="E520" s="1" t="n">
        <v>46236</v>
      </c>
      <c r="F520" t="inlineStr">
        <is>
          <t>KRONOBERGS LÄN</t>
        </is>
      </c>
      <c r="G520" t="inlineStr">
        <is>
          <t>LJUNGBY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46236</v>
      </c>
      <c r="F521" t="inlineStr">
        <is>
          <t>KRONOBERGS LÄN</t>
        </is>
      </c>
      <c r="G521" t="inlineStr">
        <is>
          <t>LJUNGBY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46236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44991</v>
      </c>
      <c r="E523" s="1" t="n">
        <v>46236</v>
      </c>
      <c r="F523" t="inlineStr">
        <is>
          <t>KRONOBERGS LÄN</t>
        </is>
      </c>
      <c r="G523" t="inlineStr">
        <is>
          <t>LJUNGBY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45628</v>
      </c>
      <c r="E524" s="1" t="n">
        <v>46236</v>
      </c>
      <c r="F524" t="inlineStr">
        <is>
          <t>KRONOBERGS LÄN</t>
        </is>
      </c>
      <c r="G524" t="inlineStr">
        <is>
          <t>LJUNGBY</t>
        </is>
      </c>
      <c r="I524" t="n">
        <v>9.6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46236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44712</v>
      </c>
      <c r="E526" s="1" t="n">
        <v>46236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45033</v>
      </c>
      <c r="E527" s="1" t="n">
        <v>46236</v>
      </c>
      <c r="F527" t="inlineStr">
        <is>
          <t>KRONOBERGS LÄN</t>
        </is>
      </c>
      <c r="G527" t="inlineStr">
        <is>
          <t>LJUNGBY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46236</v>
      </c>
      <c r="F528" t="inlineStr">
        <is>
          <t>KRONOBERGS LÄN</t>
        </is>
      </c>
      <c r="G528" t="inlineStr">
        <is>
          <t>LJUNGBY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44971</v>
      </c>
      <c r="E529" s="1" t="n">
        <v>46236</v>
      </c>
      <c r="F529" t="inlineStr">
        <is>
          <t>KRONOBERGS LÄN</t>
        </is>
      </c>
      <c r="G529" t="inlineStr">
        <is>
          <t>LJUNGBY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46236</v>
      </c>
      <c r="F530" t="inlineStr">
        <is>
          <t>KRONOBERGS LÄN</t>
        </is>
      </c>
      <c r="G530" t="inlineStr">
        <is>
          <t>LJUNGBY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45977</v>
      </c>
      <c r="E531" s="1" t="n">
        <v>46236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46236</v>
      </c>
      <c r="F532" t="inlineStr">
        <is>
          <t>KRONOBERGS LÄN</t>
        </is>
      </c>
      <c r="G532" t="inlineStr">
        <is>
          <t>LJUNGBY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46160</v>
      </c>
      <c r="E533" s="1" t="n">
        <v>46236</v>
      </c>
      <c r="F533" t="inlineStr">
        <is>
          <t>KRONOBERGS LÄN</t>
        </is>
      </c>
      <c r="G533" t="inlineStr">
        <is>
          <t>LJUNGBY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46236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46236</v>
      </c>
      <c r="F535" t="inlineStr">
        <is>
          <t>KRONOBERGS LÄN</t>
        </is>
      </c>
      <c r="G535" t="inlineStr">
        <is>
          <t>LJUNGBY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46236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46236</v>
      </c>
      <c r="F537" t="inlineStr">
        <is>
          <t>KRONOBERGS LÄN</t>
        </is>
      </c>
      <c r="G537" t="inlineStr">
        <is>
          <t>LJUNGBY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45621</v>
      </c>
      <c r="E538" s="1" t="n">
        <v>46236</v>
      </c>
      <c r="F538" t="inlineStr">
        <is>
          <t>KRONOBERGS LÄN</t>
        </is>
      </c>
      <c r="G538" t="inlineStr">
        <is>
          <t>LJUNGBY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45267</v>
      </c>
      <c r="E539" s="1" t="n">
        <v>46236</v>
      </c>
      <c r="F539" t="inlineStr">
        <is>
          <t>KRONOBERGS LÄN</t>
        </is>
      </c>
      <c r="G539" t="inlineStr">
        <is>
          <t>LJUNGBY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45643</v>
      </c>
      <c r="E540" s="1" t="n">
        <v>46236</v>
      </c>
      <c r="F540" t="inlineStr">
        <is>
          <t>KRONOBERGS LÄN</t>
        </is>
      </c>
      <c r="G540" t="inlineStr">
        <is>
          <t>LJUNGBY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46236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46236</v>
      </c>
      <c r="F542" t="inlineStr">
        <is>
          <t>KRONOBERGS LÄN</t>
        </is>
      </c>
      <c r="G542" t="inlineStr">
        <is>
          <t>LJUNGBY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45761</v>
      </c>
      <c r="E543" s="1" t="n">
        <v>46236</v>
      </c>
      <c r="F543" t="inlineStr">
        <is>
          <t>KRONOBERGS LÄN</t>
        </is>
      </c>
      <c r="G543" t="inlineStr">
        <is>
          <t>LJUNGBY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57431-2025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46236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46236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54716-2023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45236</v>
      </c>
      <c r="E546" s="1" t="n">
        <v>46236</v>
      </c>
      <c r="F546" t="inlineStr">
        <is>
          <t>KRONOBERGS LÄN</t>
        </is>
      </c>
      <c r="G546" t="inlineStr">
        <is>
          <t>LJUNGBY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46236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46236</v>
      </c>
      <c r="F548" t="inlineStr">
        <is>
          <t>KRONOBERGS LÄN</t>
        </is>
      </c>
      <c r="G548" t="inlineStr">
        <is>
          <t>LJUNGBY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44565</v>
      </c>
      <c r="E549" s="1" t="n">
        <v>46236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46236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46236</v>
      </c>
      <c r="F551" t="inlineStr">
        <is>
          <t>KRONOBERGS LÄN</t>
        </is>
      </c>
      <c r="G551" t="inlineStr">
        <is>
          <t>LJUNGBY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46236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32664-2023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45111</v>
      </c>
      <c r="E553" s="1" t="n">
        <v>46236</v>
      </c>
      <c r="F553" t="inlineStr">
        <is>
          <t>KRONOBERGS LÄN</t>
        </is>
      </c>
      <c r="G553" t="inlineStr">
        <is>
          <t>LJUNGBY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42784-2023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46236</v>
      </c>
      <c r="F554" t="inlineStr">
        <is>
          <t>KRONOBERGS LÄN</t>
        </is>
      </c>
      <c r="G554" t="inlineStr">
        <is>
          <t>LJUNGBY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46236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46161</v>
      </c>
      <c r="E556" s="1" t="n">
        <v>46236</v>
      </c>
      <c r="F556" t="inlineStr">
        <is>
          <t>KRONOBERGS LÄN</t>
        </is>
      </c>
      <c r="G556" t="inlineStr">
        <is>
          <t>LJUNGBY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57633-2025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46236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47706-2021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44448</v>
      </c>
      <c r="E558" s="1" t="n">
        <v>46236</v>
      </c>
      <c r="F558" t="inlineStr">
        <is>
          <t>KRONOBERGS LÄN</t>
        </is>
      </c>
      <c r="G558" t="inlineStr">
        <is>
          <t>LJUNGBY</t>
        </is>
      </c>
      <c r="H558" t="inlineStr">
        <is>
          <t>Kyrkan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46236</v>
      </c>
      <c r="F559" t="inlineStr">
        <is>
          <t>KRONOBERGS LÄN</t>
        </is>
      </c>
      <c r="G559" t="inlineStr">
        <is>
          <t>LJUNGBY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58331-2025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46236</v>
      </c>
      <c r="F560" t="inlineStr">
        <is>
          <t>KRONOBERGS LÄN</t>
        </is>
      </c>
      <c r="G560" t="inlineStr">
        <is>
          <t>LJUNGBY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45714</v>
      </c>
      <c r="E561" s="1" t="n">
        <v>46236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45071</v>
      </c>
      <c r="E562" s="1" t="n">
        <v>46236</v>
      </c>
      <c r="F562" t="inlineStr">
        <is>
          <t>KRONOBERGS LÄN</t>
        </is>
      </c>
      <c r="G562" t="inlineStr">
        <is>
          <t>LJUNGBY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22619-2023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45071</v>
      </c>
      <c r="E563" s="1" t="n">
        <v>46236</v>
      </c>
      <c r="F563" t="inlineStr">
        <is>
          <t>KRONOBERGS LÄN</t>
        </is>
      </c>
      <c r="G563" t="inlineStr">
        <is>
          <t>LJUNGBY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46236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12510-2025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45730</v>
      </c>
      <c r="E565" s="1" t="n">
        <v>46236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46236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60248-2022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46236</v>
      </c>
      <c r="F567" t="inlineStr">
        <is>
          <t>KRONOBERGS LÄN</t>
        </is>
      </c>
      <c r="G567" t="inlineStr">
        <is>
          <t>LJUNGBY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29768-2026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46204</v>
      </c>
      <c r="E568" s="1" t="n">
        <v>46236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46236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23600-2023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45077</v>
      </c>
      <c r="E570" s="1" t="n">
        <v>46236</v>
      </c>
      <c r="F570" t="inlineStr">
        <is>
          <t>KRONOBERGS LÄN</t>
        </is>
      </c>
      <c r="G570" t="inlineStr">
        <is>
          <t>LJUNGBY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59170-2025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45988</v>
      </c>
      <c r="E571" s="1" t="n">
        <v>46236</v>
      </c>
      <c r="F571" t="inlineStr">
        <is>
          <t>KRONOBERGS LÄN</t>
        </is>
      </c>
      <c r="G571" t="inlineStr">
        <is>
          <t>LJUNGBY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21969-2023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45068</v>
      </c>
      <c r="E572" s="1" t="n">
        <v>46236</v>
      </c>
      <c r="F572" t="inlineStr">
        <is>
          <t>KRONOBERGS LÄN</t>
        </is>
      </c>
      <c r="G572" t="inlineStr">
        <is>
          <t>LJUNGBY</t>
        </is>
      </c>
      <c r="H572" t="inlineStr">
        <is>
          <t>Kommuner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45764</v>
      </c>
      <c r="E573" s="1" t="n">
        <v>46236</v>
      </c>
      <c r="F573" t="inlineStr">
        <is>
          <t>KRONOBERGS LÄN</t>
        </is>
      </c>
      <c r="G573" t="inlineStr">
        <is>
          <t>LJUNGBY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45989</v>
      </c>
      <c r="E574" s="1" t="n">
        <v>46236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46236</v>
      </c>
      <c r="F575" t="inlineStr">
        <is>
          <t>KRONOBERGS LÄN</t>
        </is>
      </c>
      <c r="G575" t="inlineStr">
        <is>
          <t>LJUNGBY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46236</v>
      </c>
      <c r="F576" t="inlineStr">
        <is>
          <t>KRONOBERGS LÄN</t>
        </is>
      </c>
      <c r="G576" t="inlineStr">
        <is>
          <t>LJUNGBY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54454-2022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44882</v>
      </c>
      <c r="E577" s="1" t="n">
        <v>46236</v>
      </c>
      <c r="F577" t="inlineStr">
        <is>
          <t>KRONOBERGS LÄN</t>
        </is>
      </c>
      <c r="G577" t="inlineStr">
        <is>
          <t>LJUNGBY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44304-2023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46236</v>
      </c>
      <c r="F578" t="inlineStr">
        <is>
          <t>KRONOBERGS LÄN</t>
        </is>
      </c>
      <c r="G578" t="inlineStr">
        <is>
          <t>LJUNGBY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25439-2024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45463</v>
      </c>
      <c r="E579" s="1" t="n">
        <v>46236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59778-2025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45992</v>
      </c>
      <c r="E580" s="1" t="n">
        <v>46236</v>
      </c>
      <c r="F580" t="inlineStr">
        <is>
          <t>KRONOBERGS LÄN</t>
        </is>
      </c>
      <c r="G580" t="inlineStr">
        <is>
          <t>LJUNGBY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50882-2024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45602</v>
      </c>
      <c r="E581" s="1" t="n">
        <v>46236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46236</v>
      </c>
      <c r="F582" t="inlineStr">
        <is>
          <t>KRONOBERGS LÄN</t>
        </is>
      </c>
      <c r="G582" t="inlineStr">
        <is>
          <t>LJUNGBY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46236</v>
      </c>
      <c r="F583" t="inlineStr">
        <is>
          <t>KRONOBERGS LÄN</t>
        </is>
      </c>
      <c r="G583" t="inlineStr">
        <is>
          <t>LJUNGBY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54910-2022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44886</v>
      </c>
      <c r="E584" s="1" t="n">
        <v>46236</v>
      </c>
      <c r="F584" t="inlineStr">
        <is>
          <t>KRONOBERGS LÄN</t>
        </is>
      </c>
      <c r="G584" t="inlineStr">
        <is>
          <t>LJUNGBY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3527-2022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44585</v>
      </c>
      <c r="E585" s="1" t="n">
        <v>46236</v>
      </c>
      <c r="F585" t="inlineStr">
        <is>
          <t>KRONOBERGS LÄN</t>
        </is>
      </c>
      <c r="G585" t="inlineStr">
        <is>
          <t>LJUNGBY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46236</v>
      </c>
      <c r="F586" t="inlineStr">
        <is>
          <t>KRONOBERGS LÄN</t>
        </is>
      </c>
      <c r="G586" t="inlineStr">
        <is>
          <t>LJUNGBY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54984-2024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45620</v>
      </c>
      <c r="E587" s="1" t="n">
        <v>46236</v>
      </c>
      <c r="F587" t="inlineStr">
        <is>
          <t>KRONOBERGS LÄN</t>
        </is>
      </c>
      <c r="G587" t="inlineStr">
        <is>
          <t>LJUNGBY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73342-2021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44551</v>
      </c>
      <c r="E588" s="1" t="n">
        <v>46236</v>
      </c>
      <c r="F588" t="inlineStr">
        <is>
          <t>KRONOBERGS LÄN</t>
        </is>
      </c>
      <c r="G588" t="inlineStr">
        <is>
          <t>LJUNGBY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48930-2024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45594</v>
      </c>
      <c r="E589" s="1" t="n">
        <v>46236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46236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45366</v>
      </c>
      <c r="E591" s="1" t="n">
        <v>46236</v>
      </c>
      <c r="F591" t="inlineStr">
        <is>
          <t>KRONOBERGS LÄN</t>
        </is>
      </c>
      <c r="G591" t="inlineStr">
        <is>
          <t>LJUNGBY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30035-2026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46236</v>
      </c>
      <c r="F592" t="inlineStr">
        <is>
          <t>KRONOBERGS LÄN</t>
        </is>
      </c>
      <c r="G592" t="inlineStr">
        <is>
          <t>LJUNGBY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46236</v>
      </c>
      <c r="F593" t="inlineStr">
        <is>
          <t>KRONOBERGS LÄN</t>
        </is>
      </c>
      <c r="G593" t="inlineStr">
        <is>
          <t>LJUNGBY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46236</v>
      </c>
      <c r="F594" t="inlineStr">
        <is>
          <t>KRONOBERGS LÄN</t>
        </is>
      </c>
      <c r="G594" t="inlineStr">
        <is>
          <t>LJUNGBY</t>
        </is>
      </c>
      <c r="H594" t="inlineStr">
        <is>
          <t>Sveaskog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45546</v>
      </c>
      <c r="E595" s="1" t="n">
        <v>46236</v>
      </c>
      <c r="F595" t="inlineStr">
        <is>
          <t>KRONOBERGS LÄN</t>
        </is>
      </c>
      <c r="G595" t="inlineStr">
        <is>
          <t>LJUNGBY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44421</v>
      </c>
      <c r="E596" s="1" t="n">
        <v>46236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39505-2024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45551</v>
      </c>
      <c r="E597" s="1" t="n">
        <v>46236</v>
      </c>
      <c r="F597" t="inlineStr">
        <is>
          <t>KRONOBERGS LÄN</t>
        </is>
      </c>
      <c r="G597" t="inlineStr">
        <is>
          <t>LJUNGBY</t>
        </is>
      </c>
      <c r="H597" t="inlineStr">
        <is>
          <t>Sveaskog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46236</v>
      </c>
      <c r="F598" t="inlineStr">
        <is>
          <t>KRONOBERGS LÄN</t>
        </is>
      </c>
      <c r="G598" t="inlineStr">
        <is>
          <t>LJUNGBY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46236</v>
      </c>
      <c r="F599" t="inlineStr">
        <is>
          <t>KRONOBERGS LÄN</t>
        </is>
      </c>
      <c r="G599" t="inlineStr">
        <is>
          <t>LJUNGBY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45510</v>
      </c>
      <c r="E600" s="1" t="n">
        <v>46236</v>
      </c>
      <c r="F600" t="inlineStr">
        <is>
          <t>KRONOBERGS LÄN</t>
        </is>
      </c>
      <c r="G600" t="inlineStr">
        <is>
          <t>LJUNGBY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46236</v>
      </c>
      <c r="F601" t="inlineStr">
        <is>
          <t>KRONOBERGS LÄN</t>
        </is>
      </c>
      <c r="G601" t="inlineStr">
        <is>
          <t>LJUNGBY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45995</v>
      </c>
      <c r="E602" s="1" t="n">
        <v>46236</v>
      </c>
      <c r="F602" t="inlineStr">
        <is>
          <t>KRONOBERGS LÄN</t>
        </is>
      </c>
      <c r="G602" t="inlineStr">
        <is>
          <t>LJUNGBY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46236</v>
      </c>
      <c r="F603" t="inlineStr">
        <is>
          <t>KRONOBERGS LÄN</t>
        </is>
      </c>
      <c r="G603" t="inlineStr">
        <is>
          <t>LJUNGBY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46236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47232-2023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45202</v>
      </c>
      <c r="E605" s="1" t="n">
        <v>46236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62361-2022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44923</v>
      </c>
      <c r="E606" s="1" t="n">
        <v>46236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45857-2022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44846</v>
      </c>
      <c r="E607" s="1" t="n">
        <v>46236</v>
      </c>
      <c r="F607" t="inlineStr">
        <is>
          <t>KRONOBERGS LÄN</t>
        </is>
      </c>
      <c r="G607" t="inlineStr">
        <is>
          <t>LJUNGBY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46236</v>
      </c>
      <c r="F608" t="inlineStr">
        <is>
          <t>KRONOBERGS LÄN</t>
        </is>
      </c>
      <c r="G608" t="inlineStr">
        <is>
          <t>LJUNGBY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54682-2022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44883</v>
      </c>
      <c r="E609" s="1" t="n">
        <v>46236</v>
      </c>
      <c r="F609" t="inlineStr">
        <is>
          <t>KRONOBERGS LÄN</t>
        </is>
      </c>
      <c r="G609" t="inlineStr">
        <is>
          <t>LJUNGBY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46236</v>
      </c>
      <c r="F610" t="inlineStr">
        <is>
          <t>KRONOBERGS LÄN</t>
        </is>
      </c>
      <c r="G610" t="inlineStr">
        <is>
          <t>LJUNGBY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46236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46236</v>
      </c>
      <c r="F612" t="inlineStr">
        <is>
          <t>KRONOBERGS LÄN</t>
        </is>
      </c>
      <c r="G612" t="inlineStr">
        <is>
          <t>LJUNGBY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46236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46236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46236</v>
      </c>
      <c r="F615" t="inlineStr">
        <is>
          <t>KRONOBERGS LÄN</t>
        </is>
      </c>
      <c r="G615" t="inlineStr">
        <is>
          <t>LJUNGBY</t>
        </is>
      </c>
      <c r="H615" t="inlineStr">
        <is>
          <t>Sveaskog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46236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46236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21863-2023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45068</v>
      </c>
      <c r="E618" s="1" t="n">
        <v>46236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46236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46236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46236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46236</v>
      </c>
      <c r="F622" t="inlineStr">
        <is>
          <t>KRONOBERGS LÄN</t>
        </is>
      </c>
      <c r="G622" t="inlineStr">
        <is>
          <t>LJUNGBY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46236</v>
      </c>
      <c r="F623" t="inlineStr">
        <is>
          <t>KRONOBERGS LÄN</t>
        </is>
      </c>
      <c r="G623" t="inlineStr">
        <is>
          <t>LJUNGBY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46236</v>
      </c>
      <c r="F624" t="inlineStr">
        <is>
          <t>KRONOBERGS LÄN</t>
        </is>
      </c>
      <c r="G624" t="inlineStr">
        <is>
          <t>LJUNGBY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45595</v>
      </c>
      <c r="E625" s="1" t="n">
        <v>46236</v>
      </c>
      <c r="F625" t="inlineStr">
        <is>
          <t>KRONOBERGS LÄN</t>
        </is>
      </c>
      <c r="G625" t="inlineStr">
        <is>
          <t>LJUNGBY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46236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15580-2024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45401</v>
      </c>
      <c r="E627" s="1" t="n">
        <v>46236</v>
      </c>
      <c r="F627" t="inlineStr">
        <is>
          <t>KRONOBERGS LÄN</t>
        </is>
      </c>
      <c r="G627" t="inlineStr">
        <is>
          <t>LJUNGBY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46236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45103</v>
      </c>
      <c r="E629" s="1" t="n">
        <v>46236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62668-2025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46236</v>
      </c>
      <c r="F630" t="inlineStr">
        <is>
          <t>KRONOBERGS LÄN</t>
        </is>
      </c>
      <c r="G630" t="inlineStr">
        <is>
          <t>LJUNGBY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45065</v>
      </c>
      <c r="E631" s="1" t="n">
        <v>46236</v>
      </c>
      <c r="F631" t="inlineStr">
        <is>
          <t>KRONOBERGS LÄN</t>
        </is>
      </c>
      <c r="G631" t="inlineStr">
        <is>
          <t>LJUNGBY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40675-2023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45170</v>
      </c>
      <c r="E632" s="1" t="n">
        <v>46236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886-2024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45301</v>
      </c>
      <c r="E633" s="1" t="n">
        <v>46236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8134-2023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44974</v>
      </c>
      <c r="E634" s="1" t="n">
        <v>46236</v>
      </c>
      <c r="F634" t="inlineStr">
        <is>
          <t>KRONOBERGS LÄN</t>
        </is>
      </c>
      <c r="G634" t="inlineStr">
        <is>
          <t>LJUNGBY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45700</v>
      </c>
      <c r="E635" s="1" t="n">
        <v>46236</v>
      </c>
      <c r="F635" t="inlineStr">
        <is>
          <t>KRONOBERGS LÄN</t>
        </is>
      </c>
      <c r="G635" t="inlineStr">
        <is>
          <t>LJUNGBY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62504-2022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44924</v>
      </c>
      <c r="E636" s="1" t="n">
        <v>46236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45065</v>
      </c>
      <c r="E637" s="1" t="n">
        <v>46236</v>
      </c>
      <c r="F637" t="inlineStr">
        <is>
          <t>KRONOBERGS LÄN</t>
        </is>
      </c>
      <c r="G637" t="inlineStr">
        <is>
          <t>LJUNGBY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32685-2023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45121</v>
      </c>
      <c r="E638" s="1" t="n">
        <v>46236</v>
      </c>
      <c r="F638" t="inlineStr">
        <is>
          <t>KRONOBERGS LÄN</t>
        </is>
      </c>
      <c r="G638" t="inlineStr">
        <is>
          <t>LJUNGBY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46236</v>
      </c>
      <c r="F639" t="inlineStr">
        <is>
          <t>KRONOBERGS LÄN</t>
        </is>
      </c>
      <c r="G639" t="inlineStr">
        <is>
          <t>LJUNGBY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53792-2024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45615</v>
      </c>
      <c r="E640" s="1" t="n">
        <v>46236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46236</v>
      </c>
      <c r="F641" t="inlineStr">
        <is>
          <t>KRONOBERGS LÄN</t>
        </is>
      </c>
      <c r="G641" t="inlineStr">
        <is>
          <t>LJUNGBY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63656-2025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46236</v>
      </c>
      <c r="F642" t="inlineStr">
        <is>
          <t>KRONOBERGS LÄN</t>
        </is>
      </c>
      <c r="G642" t="inlineStr">
        <is>
          <t>LJUNGBY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45146</v>
      </c>
      <c r="E643" s="1" t="n">
        <v>46236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58227-2024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46236</v>
      </c>
      <c r="F644" t="inlineStr">
        <is>
          <t>KRONOBERGS LÄN</t>
        </is>
      </c>
      <c r="G644" t="inlineStr">
        <is>
          <t>LJUNGBY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46236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46236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31148-2026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46216</v>
      </c>
      <c r="E647" s="1" t="n">
        <v>46236</v>
      </c>
      <c r="F647" t="inlineStr">
        <is>
          <t>KRONOBERGS LÄN</t>
        </is>
      </c>
      <c r="G647" t="inlineStr">
        <is>
          <t>LJUNGBY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49302-2023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45210</v>
      </c>
      <c r="E648" s="1" t="n">
        <v>46236</v>
      </c>
      <c r="F648" t="inlineStr">
        <is>
          <t>KRONOBERGS LÄN</t>
        </is>
      </c>
      <c r="G648" t="inlineStr">
        <is>
          <t>LJUNGBY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63878-2025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46020</v>
      </c>
      <c r="E649" s="1" t="n">
        <v>46236</v>
      </c>
      <c r="F649" t="inlineStr">
        <is>
          <t>KRONOBERGS LÄN</t>
        </is>
      </c>
      <c r="G649" t="inlineStr">
        <is>
          <t>LJUNGBY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51537-2024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45603</v>
      </c>
      <c r="E650" s="1" t="n">
        <v>46236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13.5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45035</v>
      </c>
      <c r="E651" s="1" t="n">
        <v>46236</v>
      </c>
      <c r="F651" t="inlineStr">
        <is>
          <t>KRONOBERGS LÄN</t>
        </is>
      </c>
      <c r="G651" t="inlineStr">
        <is>
          <t>LJUNGBY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62994-2023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46236</v>
      </c>
      <c r="F652" t="inlineStr">
        <is>
          <t>KRONOBERGS LÄN</t>
        </is>
      </c>
      <c r="G652" t="inlineStr">
        <is>
          <t>LJUNGBY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15847-2025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45748</v>
      </c>
      <c r="E653" s="1" t="n">
        <v>46236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46236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24639-2026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46171</v>
      </c>
      <c r="E655" s="1" t="n">
        <v>46236</v>
      </c>
      <c r="F655" t="inlineStr">
        <is>
          <t>KRONOBERGS LÄN</t>
        </is>
      </c>
      <c r="G655" t="inlineStr">
        <is>
          <t>LJUNGBY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33075-2023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45126</v>
      </c>
      <c r="E656" s="1" t="n">
        <v>46236</v>
      </c>
      <c r="F656" t="inlineStr">
        <is>
          <t>KRONOBERGS LÄN</t>
        </is>
      </c>
      <c r="G656" t="inlineStr">
        <is>
          <t>LJUNGBY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46024</v>
      </c>
      <c r="E657" s="1" t="n">
        <v>46236</v>
      </c>
      <c r="F657" t="inlineStr">
        <is>
          <t>KRONOBERGS LÄN</t>
        </is>
      </c>
      <c r="G657" t="inlineStr">
        <is>
          <t>LJUNGBY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43347-2023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45183</v>
      </c>
      <c r="E658" s="1" t="n">
        <v>46236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46236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51856-2023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45223</v>
      </c>
      <c r="E660" s="1" t="n">
        <v>46236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53412-2024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45614</v>
      </c>
      <c r="E661" s="1" t="n">
        <v>46236</v>
      </c>
      <c r="F661" t="inlineStr">
        <is>
          <t>KRONOBERGS LÄN</t>
        </is>
      </c>
      <c r="G661" t="inlineStr">
        <is>
          <t>LJUNGBY</t>
        </is>
      </c>
      <c r="H661" t="inlineStr">
        <is>
          <t>Sveaskog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42669-2023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45181</v>
      </c>
      <c r="E662" s="1" t="n">
        <v>46236</v>
      </c>
      <c r="F662" t="inlineStr">
        <is>
          <t>KRONOBERGS LÄN</t>
        </is>
      </c>
      <c r="G662" t="inlineStr">
        <is>
          <t>LJUNGBY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59969-2025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45993</v>
      </c>
      <c r="E663" s="1" t="n">
        <v>46236</v>
      </c>
      <c r="F663" t="inlineStr">
        <is>
          <t>KRONOBERGS LÄN</t>
        </is>
      </c>
      <c r="G663" t="inlineStr">
        <is>
          <t>LJUNGBY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17037-2024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45412</v>
      </c>
      <c r="E664" s="1" t="n">
        <v>46236</v>
      </c>
      <c r="F664" t="inlineStr">
        <is>
          <t>KRONOBERGS LÄN</t>
        </is>
      </c>
      <c r="G664" t="inlineStr">
        <is>
          <t>LJUNGBY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20608-2025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45775</v>
      </c>
      <c r="E665" s="1" t="n">
        <v>46236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46236</v>
      </c>
      <c r="F666" t="inlineStr">
        <is>
          <t>KRONOBERGS LÄN</t>
        </is>
      </c>
      <c r="G666" t="inlineStr">
        <is>
          <t>LJUNGBY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62858-2023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45272</v>
      </c>
      <c r="E667" s="1" t="n">
        <v>46236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46236</v>
      </c>
      <c r="F668" t="inlineStr">
        <is>
          <t>KRONOBERGS LÄN</t>
        </is>
      </c>
      <c r="G668" t="inlineStr">
        <is>
          <t>LJUNGBY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25048-2026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46174</v>
      </c>
      <c r="E669" s="1" t="n">
        <v>46236</v>
      </c>
      <c r="F669" t="inlineStr">
        <is>
          <t>KRONOBERGS LÄN</t>
        </is>
      </c>
      <c r="G669" t="inlineStr">
        <is>
          <t>LJUNGBY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59968-2025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46236</v>
      </c>
      <c r="F670" t="inlineStr">
        <is>
          <t>KRONOBERGS LÄN</t>
        </is>
      </c>
      <c r="G670" t="inlineStr">
        <is>
          <t>LJUNGBY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42021-2024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45561</v>
      </c>
      <c r="E671" s="1" t="n">
        <v>46236</v>
      </c>
      <c r="F671" t="inlineStr">
        <is>
          <t>KRONOBERGS LÄN</t>
        </is>
      </c>
      <c r="G671" t="inlineStr">
        <is>
          <t>LJUNGBY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46236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46236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45755</v>
      </c>
      <c r="E674" s="1" t="n">
        <v>46236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25295-2026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46236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25427-2024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45463</v>
      </c>
      <c r="E676" s="1" t="n">
        <v>46236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11506-2024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46236</v>
      </c>
      <c r="F677" t="inlineStr">
        <is>
          <t>KRONOBERGS LÄN</t>
        </is>
      </c>
      <c r="G677" t="inlineStr">
        <is>
          <t>LJUNGBY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46236</v>
      </c>
      <c r="F678" t="inlineStr">
        <is>
          <t>KRONOBERGS LÄN</t>
        </is>
      </c>
      <c r="G678" t="inlineStr">
        <is>
          <t>LJUNGBY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46236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44993</v>
      </c>
      <c r="E680" s="1" t="n">
        <v>46236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45097</v>
      </c>
      <c r="E681" s="1" t="n">
        <v>46236</v>
      </c>
      <c r="F681" t="inlineStr">
        <is>
          <t>KRONOBERGS LÄN</t>
        </is>
      </c>
      <c r="G681" t="inlineStr">
        <is>
          <t>LJUNGBY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46236</v>
      </c>
      <c r="F682" t="inlineStr">
        <is>
          <t>KRONOBERGS LÄN</t>
        </is>
      </c>
      <c r="G682" t="inlineStr">
        <is>
          <t>LJUNGBY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46236</v>
      </c>
      <c r="F683" t="inlineStr">
        <is>
          <t>KRONOBERGS LÄN</t>
        </is>
      </c>
      <c r="G683" t="inlineStr">
        <is>
          <t>LJUNGBY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46236</v>
      </c>
      <c r="F684" t="inlineStr">
        <is>
          <t>KRONOBERGS LÄN</t>
        </is>
      </c>
      <c r="G684" t="inlineStr">
        <is>
          <t>LJUNGBY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46236</v>
      </c>
      <c r="F685" t="inlineStr">
        <is>
          <t>KRONOBERGS LÄN</t>
        </is>
      </c>
      <c r="G685" t="inlineStr">
        <is>
          <t>LJUNGBY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46236</v>
      </c>
      <c r="F686" t="inlineStr">
        <is>
          <t>KRONOBERGS LÄN</t>
        </is>
      </c>
      <c r="G686" t="inlineStr">
        <is>
          <t>LJUNGBY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45567</v>
      </c>
      <c r="E687" s="1" t="n">
        <v>46236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45099</v>
      </c>
      <c r="E688" s="1" t="n">
        <v>46236</v>
      </c>
      <c r="F688" t="inlineStr">
        <is>
          <t>KRONOBERGS LÄN</t>
        </is>
      </c>
      <c r="G688" t="inlineStr">
        <is>
          <t>LJUNGBY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16754-2025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45754</v>
      </c>
      <c r="E689" s="1" t="n">
        <v>46236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46236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46236</v>
      </c>
      <c r="F691" t="inlineStr">
        <is>
          <t>KRONOBERGS LÄN</t>
        </is>
      </c>
      <c r="G691" t="inlineStr">
        <is>
          <t>LJUNGBY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46236</v>
      </c>
      <c r="F692" t="inlineStr">
        <is>
          <t>KRONOBERGS LÄN</t>
        </is>
      </c>
      <c r="G692" t="inlineStr">
        <is>
          <t>LJUNGBY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46236</v>
      </c>
      <c r="F693" t="inlineStr">
        <is>
          <t>KRONOBERGS LÄN</t>
        </is>
      </c>
      <c r="G693" t="inlineStr">
        <is>
          <t>LJUNGBY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45162</v>
      </c>
      <c r="E694" s="1" t="n">
        <v>46236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46054</v>
      </c>
      <c r="E695" s="1" t="n">
        <v>46236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46054</v>
      </c>
      <c r="E696" s="1" t="n">
        <v>46236</v>
      </c>
      <c r="F696" t="inlineStr">
        <is>
          <t>KRONOBERGS LÄN</t>
        </is>
      </c>
      <c r="G696" t="inlineStr">
        <is>
          <t>LJUNGBY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6606-2026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46236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45617</v>
      </c>
      <c r="E698" s="1" t="n">
        <v>46236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42611-2023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45181</v>
      </c>
      <c r="E699" s="1" t="n">
        <v>46236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46054</v>
      </c>
      <c r="E700" s="1" t="n">
        <v>46236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13608-2024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45390</v>
      </c>
      <c r="E701" s="1" t="n">
        <v>46236</v>
      </c>
      <c r="F701" t="inlineStr">
        <is>
          <t>KRONOBERGS LÄN</t>
        </is>
      </c>
      <c r="G701" t="inlineStr">
        <is>
          <t>LJUNGBY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51867-2023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45223</v>
      </c>
      <c r="E702" s="1" t="n">
        <v>46236</v>
      </c>
      <c r="F702" t="inlineStr">
        <is>
          <t>KRONOBERGS LÄN</t>
        </is>
      </c>
      <c r="G702" t="inlineStr">
        <is>
          <t>LJUNGBY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46236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46236</v>
      </c>
      <c r="F704" t="inlineStr">
        <is>
          <t>KRONOBERGS LÄN</t>
        </is>
      </c>
      <c r="G704" t="inlineStr">
        <is>
          <t>LJUNGBY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44166-2023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46236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44985</v>
      </c>
      <c r="E706" s="1" t="n">
        <v>46236</v>
      </c>
      <c r="F706" t="inlineStr">
        <is>
          <t>KRONOBERGS LÄN</t>
        </is>
      </c>
      <c r="G706" t="inlineStr">
        <is>
          <t>LJUNGBY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9919-2023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44985</v>
      </c>
      <c r="E707" s="1" t="n">
        <v>46236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26230-2026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46182</v>
      </c>
      <c r="E708" s="1" t="n">
        <v>46236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46182</v>
      </c>
      <c r="E709" s="1" t="n">
        <v>46236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45116</v>
      </c>
      <c r="E710" s="1" t="n">
        <v>46236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31529-2023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45116</v>
      </c>
      <c r="E711" s="1" t="n">
        <v>46236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45250</v>
      </c>
      <c r="E712" s="1" t="n">
        <v>46236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10889-2024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45370</v>
      </c>
      <c r="E713" s="1" t="n">
        <v>46236</v>
      </c>
      <c r="F713" t="inlineStr">
        <is>
          <t>KRONOBERGS LÄN</t>
        </is>
      </c>
      <c r="G713" t="inlineStr">
        <is>
          <t>LJUNGBY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44937</v>
      </c>
      <c r="E714" s="1" t="n">
        <v>46236</v>
      </c>
      <c r="F714" t="inlineStr">
        <is>
          <t>KRONOBERGS LÄN</t>
        </is>
      </c>
      <c r="G714" t="inlineStr">
        <is>
          <t>LJUNGBY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46236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7679-2026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46236</v>
      </c>
      <c r="F716" t="inlineStr">
        <is>
          <t>KRONOBERGS LÄN</t>
        </is>
      </c>
      <c r="G716" t="inlineStr">
        <is>
          <t>LJUNGBY</t>
        </is>
      </c>
      <c r="H716" t="inlineStr">
        <is>
          <t>Kyrkan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46236</v>
      </c>
      <c r="F717" t="inlineStr">
        <is>
          <t>KRONOBERGS LÄN</t>
        </is>
      </c>
      <c r="G717" t="inlineStr">
        <is>
          <t>LJUNGBY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63369-2023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45273</v>
      </c>
      <c r="E718" s="1" t="n">
        <v>46236</v>
      </c>
      <c r="F718" t="inlineStr">
        <is>
          <t>KRONOBERGS LÄN</t>
        </is>
      </c>
      <c r="G718" t="inlineStr">
        <is>
          <t>LJUNGBY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46236</v>
      </c>
      <c r="F719" t="inlineStr">
        <is>
          <t>KRONOBERGS LÄN</t>
        </is>
      </c>
      <c r="G719" t="inlineStr">
        <is>
          <t>LJUNGBY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29590-2023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45106</v>
      </c>
      <c r="E720" s="1" t="n">
        <v>46236</v>
      </c>
      <c r="F720" t="inlineStr">
        <is>
          <t>KRONOBERGS LÄN</t>
        </is>
      </c>
      <c r="G720" t="inlineStr">
        <is>
          <t>LJUNGBY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46236</v>
      </c>
      <c r="F721" t="inlineStr">
        <is>
          <t>KRONOBERGS LÄN</t>
        </is>
      </c>
      <c r="G721" t="inlineStr">
        <is>
          <t>LJUNGBY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46236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35963-2024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45533</v>
      </c>
      <c r="E723" s="1" t="n">
        <v>46236</v>
      </c>
      <c r="F723" t="inlineStr">
        <is>
          <t>KRONOBERGS LÄN</t>
        </is>
      </c>
      <c r="G723" t="inlineStr">
        <is>
          <t>LJUNGBY</t>
        </is>
      </c>
      <c r="H723" t="inlineStr">
        <is>
          <t>Kyrkan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48675-2024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46236</v>
      </c>
      <c r="F724" t="inlineStr">
        <is>
          <t>KRONOBERGS LÄN</t>
        </is>
      </c>
      <c r="G724" t="inlineStr">
        <is>
          <t>LJUNGBY</t>
        </is>
      </c>
      <c r="H724" t="inlineStr">
        <is>
          <t>Sveaskog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46236</v>
      </c>
      <c r="F725" t="inlineStr">
        <is>
          <t>KRONOBERGS LÄN</t>
        </is>
      </c>
      <c r="G725" t="inlineStr">
        <is>
          <t>LJUNGBY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26665-2026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46236</v>
      </c>
      <c r="F726" t="inlineStr">
        <is>
          <t>KRONOBERGS LÄN</t>
        </is>
      </c>
      <c r="G726" t="inlineStr">
        <is>
          <t>LJUNGBY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26723-2026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46184</v>
      </c>
      <c r="E727" s="1" t="n">
        <v>46236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8054-2026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46236</v>
      </c>
      <c r="F728" t="inlineStr">
        <is>
          <t>KRONOBERGS LÄN</t>
        </is>
      </c>
      <c r="G728" t="inlineStr">
        <is>
          <t>LJUNGBY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46236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46236</v>
      </c>
      <c r="F730" t="inlineStr">
        <is>
          <t>KRONOBERGS LÄN</t>
        </is>
      </c>
      <c r="G730" t="inlineStr">
        <is>
          <t>LJUNGBY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11893-2023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44995</v>
      </c>
      <c r="E731" s="1" t="n">
        <v>46236</v>
      </c>
      <c r="F731" t="inlineStr">
        <is>
          <t>KRONOBERGS LÄN</t>
        </is>
      </c>
      <c r="G731" t="inlineStr">
        <is>
          <t>LJUNGBY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38656-2024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45546</v>
      </c>
      <c r="E732" s="1" t="n">
        <v>46236</v>
      </c>
      <c r="F732" t="inlineStr">
        <is>
          <t>KRONOBERGS LÄN</t>
        </is>
      </c>
      <c r="G732" t="inlineStr">
        <is>
          <t>LJUNGBY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46236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45355</v>
      </c>
      <c r="E734" s="1" t="n">
        <v>46236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46236</v>
      </c>
      <c r="F735" t="inlineStr">
        <is>
          <t>KRONOBERGS LÄN</t>
        </is>
      </c>
      <c r="G735" t="inlineStr">
        <is>
          <t>LJUNGBY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53539-2024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45614</v>
      </c>
      <c r="E736" s="1" t="n">
        <v>46236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45754</v>
      </c>
      <c r="E737" s="1" t="n">
        <v>46236</v>
      </c>
      <c r="F737" t="inlineStr">
        <is>
          <t>KRONOBERGS LÄN</t>
        </is>
      </c>
      <c r="G737" t="inlineStr">
        <is>
          <t>LJUNGBY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34209-2024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45524</v>
      </c>
      <c r="E738" s="1" t="n">
        <v>46236</v>
      </c>
      <c r="F738" t="inlineStr">
        <is>
          <t>KRONOBERGS LÄN</t>
        </is>
      </c>
      <c r="G738" t="inlineStr">
        <is>
          <t>LJUNGBY</t>
        </is>
      </c>
      <c r="I738" t="n">
        <v>12.1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34926-2024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45527</v>
      </c>
      <c r="E739" s="1" t="n">
        <v>46236</v>
      </c>
      <c r="F739" t="inlineStr">
        <is>
          <t>KRONOBERGS LÄN</t>
        </is>
      </c>
      <c r="G739" t="inlineStr">
        <is>
          <t>LJUNGBY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45349</v>
      </c>
      <c r="E740" s="1" t="n">
        <v>46236</v>
      </c>
      <c r="F740" t="inlineStr">
        <is>
          <t>KRONOBERGS LÄN</t>
        </is>
      </c>
      <c r="G740" t="inlineStr">
        <is>
          <t>LJUNGBY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46236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25616-2023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45089</v>
      </c>
      <c r="E742" s="1" t="n">
        <v>46236</v>
      </c>
      <c r="F742" t="inlineStr">
        <is>
          <t>KRONOBERGS LÄN</t>
        </is>
      </c>
      <c r="G742" t="inlineStr">
        <is>
          <t>LJUNGBY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44999</v>
      </c>
      <c r="E743" s="1" t="n">
        <v>46236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57390-2024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45629</v>
      </c>
      <c r="E744" s="1" t="n">
        <v>46236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20284-2023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45056</v>
      </c>
      <c r="E745" s="1" t="n">
        <v>46236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45188</v>
      </c>
      <c r="E746" s="1" t="n">
        <v>46236</v>
      </c>
      <c r="F746" t="inlineStr">
        <is>
          <t>KRONOBERGS LÄN</t>
        </is>
      </c>
      <c r="G746" t="inlineStr">
        <is>
          <t>LJUNGBY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6493-2024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45339</v>
      </c>
      <c r="E747" s="1" t="n">
        <v>46236</v>
      </c>
      <c r="F747" t="inlineStr">
        <is>
          <t>KRONOBERGS LÄN</t>
        </is>
      </c>
      <c r="G747" t="inlineStr">
        <is>
          <t>LJUNGBY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9070-2026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46069</v>
      </c>
      <c r="E748" s="1" t="n">
        <v>46236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46236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59544-2024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45637</v>
      </c>
      <c r="E750" s="1" t="n">
        <v>46236</v>
      </c>
      <c r="F750" t="inlineStr">
        <is>
          <t>KRONOBERGS LÄN</t>
        </is>
      </c>
      <c r="G750" t="inlineStr">
        <is>
          <t>LJUNGBY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10189-2025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45719</v>
      </c>
      <c r="E751" s="1" t="n">
        <v>46236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45084</v>
      </c>
      <c r="E752" s="1" t="n">
        <v>46236</v>
      </c>
      <c r="F752" t="inlineStr">
        <is>
          <t>KRONOBERGS LÄN</t>
        </is>
      </c>
      <c r="G752" t="inlineStr">
        <is>
          <t>LJUNGBY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53405-2024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45614</v>
      </c>
      <c r="E753" s="1" t="n">
        <v>46236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50314-2023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45216</v>
      </c>
      <c r="E754" s="1" t="n">
        <v>46236</v>
      </c>
      <c r="F754" t="inlineStr">
        <is>
          <t>KRONOBERGS LÄN</t>
        </is>
      </c>
      <c r="G754" t="inlineStr">
        <is>
          <t>LJUNGBY</t>
        </is>
      </c>
      <c r="I754" t="n">
        <v>7.8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52539-2021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44466</v>
      </c>
      <c r="E755" s="1" t="n">
        <v>46236</v>
      </c>
      <c r="F755" t="inlineStr">
        <is>
          <t>KRONOBERGS LÄN</t>
        </is>
      </c>
      <c r="G755" t="inlineStr">
        <is>
          <t>LJUNGBY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7491-2023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44971</v>
      </c>
      <c r="E756" s="1" t="n">
        <v>46236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46236</v>
      </c>
      <c r="F757" t="inlineStr">
        <is>
          <t>KRONOBERGS LÄN</t>
        </is>
      </c>
      <c r="G757" t="inlineStr">
        <is>
          <t>LJUNGBY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7107-2022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44603</v>
      </c>
      <c r="E758" s="1" t="n">
        <v>46236</v>
      </c>
      <c r="F758" t="inlineStr">
        <is>
          <t>KRONOBERGS LÄN</t>
        </is>
      </c>
      <c r="G758" t="inlineStr">
        <is>
          <t>LJUNGBY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7113-2022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44603</v>
      </c>
      <c r="E759" s="1" t="n">
        <v>46236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7114-2022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44603</v>
      </c>
      <c r="E760" s="1" t="n">
        <v>46236</v>
      </c>
      <c r="F760" t="inlineStr">
        <is>
          <t>KRONOBERGS LÄN</t>
        </is>
      </c>
      <c r="G760" t="inlineStr">
        <is>
          <t>LJUNGBY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7374-2024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45345</v>
      </c>
      <c r="E761" s="1" t="n">
        <v>46236</v>
      </c>
      <c r="F761" t="inlineStr">
        <is>
          <t>KRONOBERGS LÄN</t>
        </is>
      </c>
      <c r="G761" t="inlineStr">
        <is>
          <t>LJUNGBY</t>
        </is>
      </c>
      <c r="I761" t="n">
        <v>6.3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52661-2024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45610</v>
      </c>
      <c r="E762" s="1" t="n">
        <v>46236</v>
      </c>
      <c r="F762" t="inlineStr">
        <is>
          <t>KRONOBERGS LÄN</t>
        </is>
      </c>
      <c r="G762" t="inlineStr">
        <is>
          <t>LJUNGBY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44582</v>
      </c>
      <c r="E763" s="1" t="n">
        <v>46236</v>
      </c>
      <c r="F763" t="inlineStr">
        <is>
          <t>KRONOBERGS LÄN</t>
        </is>
      </c>
      <c r="G763" t="inlineStr">
        <is>
          <t>LJUNGBY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46236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10573-2026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46077</v>
      </c>
      <c r="E765" s="1" t="n">
        <v>46236</v>
      </c>
      <c r="F765" t="inlineStr">
        <is>
          <t>KRONOBERGS LÄN</t>
        </is>
      </c>
      <c r="G765" t="inlineStr">
        <is>
          <t>LJUNGBY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46236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10711-2026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46078</v>
      </c>
      <c r="E767" s="1" t="n">
        <v>46236</v>
      </c>
      <c r="F767" t="inlineStr">
        <is>
          <t>KRONOBERGS LÄN</t>
        </is>
      </c>
      <c r="G767" t="inlineStr">
        <is>
          <t>LJUNGBY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46236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64680-2023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45281</v>
      </c>
      <c r="E769" s="1" t="n">
        <v>46236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11099-2026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46236</v>
      </c>
      <c r="F770" t="inlineStr">
        <is>
          <t>KRONOBERGS LÄN</t>
        </is>
      </c>
      <c r="G770" t="inlineStr">
        <is>
          <t>LJUNGBY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14602-2025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46236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46191</v>
      </c>
      <c r="E772" s="1" t="n">
        <v>46236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44988</v>
      </c>
      <c r="E773" s="1" t="n">
        <v>46236</v>
      </c>
      <c r="F773" t="inlineStr">
        <is>
          <t>KRONOBERGS LÄN</t>
        </is>
      </c>
      <c r="G773" t="inlineStr">
        <is>
          <t>LJUNGBY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44587</v>
      </c>
      <c r="E774" s="1" t="n">
        <v>46236</v>
      </c>
      <c r="F774" t="inlineStr">
        <is>
          <t>KRONOBERGS LÄN</t>
        </is>
      </c>
      <c r="G774" t="inlineStr">
        <is>
          <t>LJUNGBY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45279</v>
      </c>
      <c r="E775" s="1" t="n">
        <v>46236</v>
      </c>
      <c r="F775" t="inlineStr">
        <is>
          <t>KRONOBERGS LÄN</t>
        </is>
      </c>
      <c r="G775" t="inlineStr">
        <is>
          <t>LJUNGBY</t>
        </is>
      </c>
      <c r="H775" t="inlineStr">
        <is>
          <t>Kyrkan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45427</v>
      </c>
      <c r="E776" s="1" t="n">
        <v>46236</v>
      </c>
      <c r="F776" t="inlineStr">
        <is>
          <t>KRONOBERGS LÄN</t>
        </is>
      </c>
      <c r="G776" t="inlineStr">
        <is>
          <t>LJUNGBY</t>
        </is>
      </c>
      <c r="I776" t="n">
        <v>9.6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42592-2023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45176</v>
      </c>
      <c r="E777" s="1" t="n">
        <v>46236</v>
      </c>
      <c r="F777" t="inlineStr">
        <is>
          <t>KRONOBERGS LÄN</t>
        </is>
      </c>
      <c r="G777" t="inlineStr">
        <is>
          <t>LJUNGBY</t>
        </is>
      </c>
      <c r="H777" t="inlineStr">
        <is>
          <t>Kyrkan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43343-2023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45183</v>
      </c>
      <c r="E778" s="1" t="n">
        <v>46236</v>
      </c>
      <c r="F778" t="inlineStr">
        <is>
          <t>KRONOBERGS LÄN</t>
        </is>
      </c>
      <c r="G778" t="inlineStr">
        <is>
          <t>LJUNGBY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11777-2026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46084</v>
      </c>
      <c r="E779" s="1" t="n">
        <v>46236</v>
      </c>
      <c r="F779" t="inlineStr">
        <is>
          <t>KRONOBERGS LÄN</t>
        </is>
      </c>
      <c r="G779" t="inlineStr">
        <is>
          <t>LJUNGBY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24399-2023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45082</v>
      </c>
      <c r="E780" s="1" t="n">
        <v>46236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38976-2024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45548</v>
      </c>
      <c r="E781" s="1" t="n">
        <v>46236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13227-2025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46236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12310-2026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46087</v>
      </c>
      <c r="E783" s="1" t="n">
        <v>46236</v>
      </c>
      <c r="F783" t="inlineStr">
        <is>
          <t>KRONOBERGS LÄN</t>
        </is>
      </c>
      <c r="G783" t="inlineStr">
        <is>
          <t>LJUNGBY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52844-2024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45610</v>
      </c>
      <c r="E784" s="1" t="n">
        <v>46236</v>
      </c>
      <c r="F784" t="inlineStr">
        <is>
          <t>KRONOBERGS LÄN</t>
        </is>
      </c>
      <c r="G784" t="inlineStr">
        <is>
          <t>LJUNGBY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49084-2024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45594</v>
      </c>
      <c r="E785" s="1" t="n">
        <v>46236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23590-2023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45077</v>
      </c>
      <c r="E786" s="1" t="n">
        <v>46236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19143-2025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45769</v>
      </c>
      <c r="E787" s="1" t="n">
        <v>46236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12939-2022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44642</v>
      </c>
      <c r="E788" s="1" t="n">
        <v>46236</v>
      </c>
      <c r="F788" t="inlineStr">
        <is>
          <t>KRONOBERGS LÄN</t>
        </is>
      </c>
      <c r="G788" t="inlineStr">
        <is>
          <t>LJUNGBY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46236</v>
      </c>
      <c r="F789" t="inlineStr">
        <is>
          <t>KRONOBERGS LÄN</t>
        </is>
      </c>
      <c r="G789" t="inlineStr">
        <is>
          <t>LJUNGBY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12653-2026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46091</v>
      </c>
      <c r="E790" s="1" t="n">
        <v>46236</v>
      </c>
      <c r="F790" t="inlineStr">
        <is>
          <t>KRONOBERGS LÄN</t>
        </is>
      </c>
      <c r="G790" t="inlineStr">
        <is>
          <t>LJUNGBY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45714</v>
      </c>
      <c r="E791" s="1" t="n">
        <v>46236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56818-2024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45628</v>
      </c>
      <c r="E792" s="1" t="n">
        <v>46236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11784-2022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44634</v>
      </c>
      <c r="E793" s="1" t="n">
        <v>46236</v>
      </c>
      <c r="F793" t="inlineStr">
        <is>
          <t>KRONOBERGS LÄN</t>
        </is>
      </c>
      <c r="G793" t="inlineStr">
        <is>
          <t>LJUNGBY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53789-2024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46236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56774-2024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45628</v>
      </c>
      <c r="E795" s="1" t="n">
        <v>46236</v>
      </c>
      <c r="F795" t="inlineStr">
        <is>
          <t>KRONOBERGS LÄN</t>
        </is>
      </c>
      <c r="G795" t="inlineStr">
        <is>
          <t>LJUNGBY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23160-2023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45075</v>
      </c>
      <c r="E796" s="1" t="n">
        <v>46236</v>
      </c>
      <c r="F796" t="inlineStr">
        <is>
          <t>KRONOBERGS LÄN</t>
        </is>
      </c>
      <c r="G796" t="inlineStr">
        <is>
          <t>LJUNGBY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22153-2023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45069</v>
      </c>
      <c r="E797" s="1" t="n">
        <v>46236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9629-2022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44617</v>
      </c>
      <c r="E798" s="1" t="n">
        <v>46236</v>
      </c>
      <c r="F798" t="inlineStr">
        <is>
          <t>KRONOBERGS LÄN</t>
        </is>
      </c>
      <c r="G798" t="inlineStr">
        <is>
          <t>LJUNGBY</t>
        </is>
      </c>
      <c r="H798" t="inlineStr">
        <is>
          <t>Kyrkan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58781-2024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45635</v>
      </c>
      <c r="E799" s="1" t="n">
        <v>46236</v>
      </c>
      <c r="F799" t="inlineStr">
        <is>
          <t>KRONOBERGS LÄN</t>
        </is>
      </c>
      <c r="G799" t="inlineStr">
        <is>
          <t>LJUNGBY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46236</v>
      </c>
      <c r="F800" t="inlineStr">
        <is>
          <t>KRONOBERGS LÄN</t>
        </is>
      </c>
      <c r="G800" t="inlineStr">
        <is>
          <t>LJUNGBY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46097</v>
      </c>
      <c r="E801" s="1" t="n">
        <v>46236</v>
      </c>
      <c r="F801" t="inlineStr">
        <is>
          <t>KRONOBERGS LÄN</t>
        </is>
      </c>
      <c r="G801" t="inlineStr">
        <is>
          <t>LJUNGBY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45677</v>
      </c>
      <c r="E802" s="1" t="n">
        <v>46236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46097</v>
      </c>
      <c r="E803" s="1" t="n">
        <v>46236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13772-2026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46097</v>
      </c>
      <c r="E804" s="1" t="n">
        <v>46236</v>
      </c>
      <c r="F804" t="inlineStr">
        <is>
          <t>KRONOBERGS LÄN</t>
        </is>
      </c>
      <c r="G804" t="inlineStr">
        <is>
          <t>LJUNGBY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13734-2026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46097</v>
      </c>
      <c r="E805" s="1" t="n">
        <v>46236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13748-2026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46097</v>
      </c>
      <c r="E806" s="1" t="n">
        <v>46236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56205-2023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45240</v>
      </c>
      <c r="E807" s="1" t="n">
        <v>46236</v>
      </c>
      <c r="F807" t="inlineStr">
        <is>
          <t>KRONOBERGS LÄN</t>
        </is>
      </c>
      <c r="G807" t="inlineStr">
        <is>
          <t>LJUNGBY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10697-2025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46236</v>
      </c>
      <c r="F808" t="inlineStr">
        <is>
          <t>KRONOBERGS LÄN</t>
        </is>
      </c>
      <c r="G808" t="inlineStr">
        <is>
          <t>LJUNGBY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59778-2024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45639</v>
      </c>
      <c r="E809" s="1" t="n">
        <v>46236</v>
      </c>
      <c r="F809" t="inlineStr">
        <is>
          <t>KRONOBERGS LÄN</t>
        </is>
      </c>
      <c r="G809" t="inlineStr">
        <is>
          <t>LJUNGBY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13534-2026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46236</v>
      </c>
      <c r="F810" t="inlineStr">
        <is>
          <t>KRONOBERGS LÄN</t>
        </is>
      </c>
      <c r="G810" t="inlineStr">
        <is>
          <t>LJUNGBY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46097</v>
      </c>
      <c r="E811" s="1" t="n">
        <v>46236</v>
      </c>
      <c r="F811" t="inlineStr">
        <is>
          <t>KRONOBERGS LÄN</t>
        </is>
      </c>
      <c r="G811" t="inlineStr">
        <is>
          <t>LJUNGBY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46097</v>
      </c>
      <c r="E812" s="1" t="n">
        <v>46236</v>
      </c>
      <c r="F812" t="inlineStr">
        <is>
          <t>KRONOBERGS LÄN</t>
        </is>
      </c>
      <c r="G812" t="inlineStr">
        <is>
          <t>LJUNGBY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13741-2026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46097</v>
      </c>
      <c r="E813" s="1" t="n">
        <v>46236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13798-2026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46097</v>
      </c>
      <c r="E814" s="1" t="n">
        <v>46236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42190-2023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45179</v>
      </c>
      <c r="E815" s="1" t="n">
        <v>46236</v>
      </c>
      <c r="F815" t="inlineStr">
        <is>
          <t>KRONOBERGS LÄN</t>
        </is>
      </c>
      <c r="G815" t="inlineStr">
        <is>
          <t>LJUNGBY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37320-2023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45156</v>
      </c>
      <c r="E816" s="1" t="n">
        <v>46236</v>
      </c>
      <c r="F816" t="inlineStr">
        <is>
          <t>KRONOBERGS LÄN</t>
        </is>
      </c>
      <c r="G816" t="inlineStr">
        <is>
          <t>LJUNGBY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13797-2026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46236</v>
      </c>
      <c r="F817" t="inlineStr">
        <is>
          <t>KRONOBERGS LÄN</t>
        </is>
      </c>
      <c r="G817" t="inlineStr">
        <is>
          <t>LJUNGBY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13892-2026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46098</v>
      </c>
      <c r="E818" s="1" t="n">
        <v>46236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39091-2023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45164</v>
      </c>
      <c r="E819" s="1" t="n">
        <v>46236</v>
      </c>
      <c r="F819" t="inlineStr">
        <is>
          <t>KRONOBERGS LÄN</t>
        </is>
      </c>
      <c r="G819" t="inlineStr">
        <is>
          <t>LJUNGBY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23654-2022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44721</v>
      </c>
      <c r="E820" s="1" t="n">
        <v>46236</v>
      </c>
      <c r="F820" t="inlineStr">
        <is>
          <t>KRONOBERGS LÄN</t>
        </is>
      </c>
      <c r="G820" t="inlineStr">
        <is>
          <t>LJUNGBY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46869-2022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44851</v>
      </c>
      <c r="E821" s="1" t="n">
        <v>46236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63354-2021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44508</v>
      </c>
      <c r="E822" s="1" t="n">
        <v>46236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12513-2025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45730</v>
      </c>
      <c r="E823" s="1" t="n">
        <v>46236</v>
      </c>
      <c r="F823" t="inlineStr">
        <is>
          <t>KRONOBERGS LÄN</t>
        </is>
      </c>
      <c r="G823" t="inlineStr">
        <is>
          <t>LJUNGBY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21406-2024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45441</v>
      </c>
      <c r="E824" s="1" t="n">
        <v>46236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45686</v>
      </c>
      <c r="E825" s="1" t="n">
        <v>46236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15071-2026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46236</v>
      </c>
      <c r="F826" t="inlineStr">
        <is>
          <t>KRONOBERGS LÄN</t>
        </is>
      </c>
      <c r="G826" t="inlineStr">
        <is>
          <t>LJUNGBY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46236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7103-2025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45701</v>
      </c>
      <c r="E828" s="1" t="n">
        <v>46236</v>
      </c>
      <c r="F828" t="inlineStr">
        <is>
          <t>KRONOBERGS LÄN</t>
        </is>
      </c>
      <c r="G828" t="inlineStr">
        <is>
          <t>LJUNGBY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6695-2025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45700</v>
      </c>
      <c r="E829" s="1" t="n">
        <v>46236</v>
      </c>
      <c r="F829" t="inlineStr">
        <is>
          <t>KRONOBERGS LÄN</t>
        </is>
      </c>
      <c r="G829" t="inlineStr">
        <is>
          <t>LJUNGBY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10997-2022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44628</v>
      </c>
      <c r="E830" s="1" t="n">
        <v>46236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15764-2026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46236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15660-2026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46106</v>
      </c>
      <c r="E832" s="1" t="n">
        <v>46236</v>
      </c>
      <c r="F832" t="inlineStr">
        <is>
          <t>KRONOBERGS LÄN</t>
        </is>
      </c>
      <c r="G832" t="inlineStr">
        <is>
          <t>LJUNGBY</t>
        </is>
      </c>
      <c r="I832" t="n">
        <v>4.6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15716-2026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46107</v>
      </c>
      <c r="E833" s="1" t="n">
        <v>46236</v>
      </c>
      <c r="F833" t="inlineStr">
        <is>
          <t>KRONOBERGS LÄN</t>
        </is>
      </c>
      <c r="G833" t="inlineStr">
        <is>
          <t>LJUNGBY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15766-2026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46236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15773-2026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46107</v>
      </c>
      <c r="E835" s="1" t="n">
        <v>46236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22383-2024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45446</v>
      </c>
      <c r="E836" s="1" t="n">
        <v>46236</v>
      </c>
      <c r="F836" t="inlineStr">
        <is>
          <t>KRONOBERGS LÄN</t>
        </is>
      </c>
      <c r="G836" t="inlineStr">
        <is>
          <t>LJUNGBY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42615-2023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45181</v>
      </c>
      <c r="E837" s="1" t="n">
        <v>46236</v>
      </c>
      <c r="F837" t="inlineStr">
        <is>
          <t>KRONOBERGS LÄN</t>
        </is>
      </c>
      <c r="G837" t="inlineStr">
        <is>
          <t>LJUNGBY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46864-2022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44851</v>
      </c>
      <c r="E838" s="1" t="n">
        <v>46236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45918-2023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45195</v>
      </c>
      <c r="E839" s="1" t="n">
        <v>46236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16351-2026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46111</v>
      </c>
      <c r="E840" s="1" t="n">
        <v>46236</v>
      </c>
      <c r="F840" t="inlineStr">
        <is>
          <t>KRONOBERGS LÄN</t>
        </is>
      </c>
      <c r="G840" t="inlineStr">
        <is>
          <t>LJUNGBY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16275-2026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46236</v>
      </c>
      <c r="F841" t="inlineStr">
        <is>
          <t>KRONOBERGS LÄN</t>
        </is>
      </c>
      <c r="G841" t="inlineStr">
        <is>
          <t>LJUNGBY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16785-2026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46236</v>
      </c>
      <c r="F842" t="inlineStr">
        <is>
          <t>KRONOBERGS LÄN</t>
        </is>
      </c>
      <c r="G842" t="inlineStr">
        <is>
          <t>LJUNGBY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46236</v>
      </c>
      <c r="F843" t="inlineStr">
        <is>
          <t>KRONOBERGS LÄN</t>
        </is>
      </c>
      <c r="G843" t="inlineStr">
        <is>
          <t>LJUNGBY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46236</v>
      </c>
      <c r="F844" t="inlineStr">
        <is>
          <t>KRONOBERGS LÄN</t>
        </is>
      </c>
      <c r="G844" t="inlineStr">
        <is>
          <t>LJUNGBY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46113</v>
      </c>
      <c r="E845" s="1" t="n">
        <v>46236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46113</v>
      </c>
      <c r="E846" s="1" t="n">
        <v>46236</v>
      </c>
      <c r="F846" t="inlineStr">
        <is>
          <t>KRONOBERGS LÄN</t>
        </is>
      </c>
      <c r="G846" t="inlineStr">
        <is>
          <t>LJUNGBY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46236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16580-2026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46112</v>
      </c>
      <c r="E848" s="1" t="n">
        <v>46236</v>
      </c>
      <c r="F848" t="inlineStr">
        <is>
          <t>KRONOBERGS LÄN</t>
        </is>
      </c>
      <c r="G848" t="inlineStr">
        <is>
          <t>LJUNGBY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38736-2023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45163</v>
      </c>
      <c r="E849" s="1" t="n">
        <v>46236</v>
      </c>
      <c r="F849" t="inlineStr">
        <is>
          <t>KRONOBERGS LÄN</t>
        </is>
      </c>
      <c r="G849" t="inlineStr">
        <is>
          <t>LJUNGBY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57206-2024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45629</v>
      </c>
      <c r="E850" s="1" t="n">
        <v>46236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44706</v>
      </c>
      <c r="E851" s="1" t="n">
        <v>46236</v>
      </c>
      <c r="F851" t="inlineStr">
        <is>
          <t>KRONOBERGS LÄN</t>
        </is>
      </c>
      <c r="G851" t="inlineStr">
        <is>
          <t>LJUNGBY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36373-2024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45534</v>
      </c>
      <c r="E852" s="1" t="n">
        <v>46236</v>
      </c>
      <c r="F852" t="inlineStr">
        <is>
          <t>KRONOBERGS LÄN</t>
        </is>
      </c>
      <c r="G852" t="inlineStr">
        <is>
          <t>LJUNGBY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16947-2026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46113</v>
      </c>
      <c r="E853" s="1" t="n">
        <v>46236</v>
      </c>
      <c r="F853" t="inlineStr">
        <is>
          <t>KRONOBERGS LÄN</t>
        </is>
      </c>
      <c r="G853" t="inlineStr">
        <is>
          <t>LJUNGBY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46236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46236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46119</v>
      </c>
      <c r="E856" s="1" t="n">
        <v>46236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17246-2026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46236</v>
      </c>
      <c r="F857" t="inlineStr">
        <is>
          <t>KRONOBERGS LÄN</t>
        </is>
      </c>
      <c r="G857" t="inlineStr">
        <is>
          <t>LJUNGBY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33105-2023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45126</v>
      </c>
      <c r="E858" s="1" t="n">
        <v>46236</v>
      </c>
      <c r="F858" t="inlineStr">
        <is>
          <t>KRONOBERGS LÄN</t>
        </is>
      </c>
      <c r="G858" t="inlineStr">
        <is>
          <t>LJUNGBY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8245-2025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45708</v>
      </c>
      <c r="E859" s="1" t="n">
        <v>46236</v>
      </c>
      <c r="F859" t="inlineStr">
        <is>
          <t>KRONOBERGS LÄN</t>
        </is>
      </c>
      <c r="G859" t="inlineStr">
        <is>
          <t>LJUNGBY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17488-2026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46120</v>
      </c>
      <c r="E860" s="1" t="n">
        <v>46236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43844-2023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45187</v>
      </c>
      <c r="E861" s="1" t="n">
        <v>46236</v>
      </c>
      <c r="F861" t="inlineStr">
        <is>
          <t>KRONOBERGS LÄN</t>
        </is>
      </c>
      <c r="G861" t="inlineStr">
        <is>
          <t>LJUNGBY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5368-2023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44959</v>
      </c>
      <c r="E862" s="1" t="n">
        <v>46236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29224-2022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44750</v>
      </c>
      <c r="E863" s="1" t="n">
        <v>46236</v>
      </c>
      <c r="F863" t="inlineStr">
        <is>
          <t>KRONOBERGS LÄN</t>
        </is>
      </c>
      <c r="G863" t="inlineStr">
        <is>
          <t>LJUNGBY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46181-2024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46236</v>
      </c>
      <c r="F864" t="inlineStr">
        <is>
          <t>KRONOBERGS LÄN</t>
        </is>
      </c>
      <c r="G864" t="inlineStr">
        <is>
          <t>LJUNGBY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52516-2023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45225</v>
      </c>
      <c r="E865" s="1" t="n">
        <v>46236</v>
      </c>
      <c r="F865" t="inlineStr">
        <is>
          <t>KRONOBERGS LÄN</t>
        </is>
      </c>
      <c r="G865" t="inlineStr">
        <is>
          <t>LJUNGBY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33500-2023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45131</v>
      </c>
      <c r="E866" s="1" t="n">
        <v>46236</v>
      </c>
      <c r="F866" t="inlineStr">
        <is>
          <t>KRONOBERGS LÄN</t>
        </is>
      </c>
      <c r="G866" t="inlineStr">
        <is>
          <t>LJUNGBY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48495-2023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45207</v>
      </c>
      <c r="E867" s="1" t="n">
        <v>46236</v>
      </c>
      <c r="F867" t="inlineStr">
        <is>
          <t>KRONOBERGS LÄN</t>
        </is>
      </c>
      <c r="G867" t="inlineStr">
        <is>
          <t>LJUNGBY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17146-2025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45756</v>
      </c>
      <c r="E868" s="1" t="n">
        <v>46236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21805-2025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45783</v>
      </c>
      <c r="E869" s="1" t="n">
        <v>46236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21807-2025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45783</v>
      </c>
      <c r="E870" s="1" t="n">
        <v>46236</v>
      </c>
      <c r="F870" t="inlineStr">
        <is>
          <t>KRONOBERGS LÄN</t>
        </is>
      </c>
      <c r="G870" t="inlineStr">
        <is>
          <t>LJUNGBY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45783</v>
      </c>
      <c r="E871" s="1" t="n">
        <v>46236</v>
      </c>
      <c r="F871" t="inlineStr">
        <is>
          <t>KRONOBERGS LÄN</t>
        </is>
      </c>
      <c r="G871" t="inlineStr">
        <is>
          <t>LJUNGBY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53865-2023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45231</v>
      </c>
      <c r="E872" s="1" t="n">
        <v>46236</v>
      </c>
      <c r="F872" t="inlineStr">
        <is>
          <t>KRONOBERGS LÄN</t>
        </is>
      </c>
      <c r="G872" t="inlineStr">
        <is>
          <t>LJUNGBY</t>
        </is>
      </c>
      <c r="I872" t="n">
        <v>6.6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45783</v>
      </c>
      <c r="E873" s="1" t="n">
        <v>46236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21816-2025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45783</v>
      </c>
      <c r="E874" s="1" t="n">
        <v>46236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38148-2023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45161</v>
      </c>
      <c r="E875" s="1" t="n">
        <v>46236</v>
      </c>
      <c r="F875" t="inlineStr">
        <is>
          <t>KRONOBERGS LÄN</t>
        </is>
      </c>
      <c r="G875" t="inlineStr">
        <is>
          <t>LJUNGBY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15673-2023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45021</v>
      </c>
      <c r="E876" s="1" t="n">
        <v>46236</v>
      </c>
      <c r="F876" t="inlineStr">
        <is>
          <t>KRONOBERGS LÄN</t>
        </is>
      </c>
      <c r="G876" t="inlineStr">
        <is>
          <t>LJUNGBY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21819-2025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45783</v>
      </c>
      <c r="E877" s="1" t="n">
        <v>46236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61420-2023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45264</v>
      </c>
      <c r="E878" s="1" t="n">
        <v>46236</v>
      </c>
      <c r="F878" t="inlineStr">
        <is>
          <t>KRONOBERGS LÄN</t>
        </is>
      </c>
      <c r="G878" t="inlineStr">
        <is>
          <t>LJUNGBY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15774-2025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45748</v>
      </c>
      <c r="E879" s="1" t="n">
        <v>46236</v>
      </c>
      <c r="F879" t="inlineStr">
        <is>
          <t>KRONOBERGS LÄN</t>
        </is>
      </c>
      <c r="G879" t="inlineStr">
        <is>
          <t>LJUNGBY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8251-2025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45708</v>
      </c>
      <c r="E880" s="1" t="n">
        <v>46236</v>
      </c>
      <c r="F880" t="inlineStr">
        <is>
          <t>KRONOBERGS LÄN</t>
        </is>
      </c>
      <c r="G880" t="inlineStr">
        <is>
          <t>LJUNGBY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18777-2026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46128</v>
      </c>
      <c r="E881" s="1" t="n">
        <v>46236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40966-2022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44825</v>
      </c>
      <c r="E882" s="1" t="n">
        <v>46236</v>
      </c>
      <c r="F882" t="inlineStr">
        <is>
          <t>KRONOBERGS LÄN</t>
        </is>
      </c>
      <c r="G882" t="inlineStr">
        <is>
          <t>LJUNGBY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46236</v>
      </c>
      <c r="F883" t="inlineStr">
        <is>
          <t>KRONOBERGS LÄN</t>
        </is>
      </c>
      <c r="G883" t="inlineStr">
        <is>
          <t>LJUNGBY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19581-2026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46236</v>
      </c>
      <c r="F884" t="inlineStr">
        <is>
          <t>KRONOBERGS LÄN</t>
        </is>
      </c>
      <c r="G884" t="inlineStr">
        <is>
          <t>LJUNGBY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19585-2026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46236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45315</v>
      </c>
      <c r="E886" s="1" t="n">
        <v>46236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50030-2023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45215</v>
      </c>
      <c r="E887" s="1" t="n">
        <v>46236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4761-2024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45328</v>
      </c>
      <c r="E888" s="1" t="n">
        <v>46236</v>
      </c>
      <c r="F888" t="inlineStr">
        <is>
          <t>KRONOBERGS LÄN</t>
        </is>
      </c>
      <c r="G888" t="inlineStr">
        <is>
          <t>LJUNGBY</t>
        </is>
      </c>
      <c r="I888" t="n">
        <v>51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3782-2025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45681</v>
      </c>
      <c r="E889" s="1" t="n">
        <v>46236</v>
      </c>
      <c r="F889" t="inlineStr">
        <is>
          <t>KRONOBERGS LÄN</t>
        </is>
      </c>
      <c r="G889" t="inlineStr">
        <is>
          <t>LJUNGBY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52627-2023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45225</v>
      </c>
      <c r="E890" s="1" t="n">
        <v>46236</v>
      </c>
      <c r="F890" t="inlineStr">
        <is>
          <t>KRONOBERGS LÄN</t>
        </is>
      </c>
      <c r="G890" t="inlineStr">
        <is>
          <t>LJUNGBY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56799-2024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45628</v>
      </c>
      <c r="E891" s="1" t="n">
        <v>46236</v>
      </c>
      <c r="F891" t="inlineStr">
        <is>
          <t>KRONOBERGS LÄN</t>
        </is>
      </c>
      <c r="G891" t="inlineStr">
        <is>
          <t>LJUNGBY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59857-2023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45257</v>
      </c>
      <c r="E892" s="1" t="n">
        <v>46236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34101-2025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45845</v>
      </c>
      <c r="E893" s="1" t="n">
        <v>46236</v>
      </c>
      <c r="F893" t="inlineStr">
        <is>
          <t>KRONOBERGS LÄN</t>
        </is>
      </c>
      <c r="G893" t="inlineStr">
        <is>
          <t>LJUNGBY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45162</v>
      </c>
      <c r="E894" s="1" t="n">
        <v>46236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22012-2025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45784</v>
      </c>
      <c r="E895" s="1" t="n">
        <v>46236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11356-2024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45372</v>
      </c>
      <c r="E896" s="1" t="n">
        <v>46236</v>
      </c>
      <c r="F896" t="inlineStr">
        <is>
          <t>KRONOBERGS LÄN</t>
        </is>
      </c>
      <c r="G896" t="inlineStr">
        <is>
          <t>LJUNGBY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10755-2023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46236</v>
      </c>
      <c r="F897" t="inlineStr">
        <is>
          <t>KRONOBERGS LÄN</t>
        </is>
      </c>
      <c r="G897" t="inlineStr">
        <is>
          <t>LJUNGBY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12787-2025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45733</v>
      </c>
      <c r="E898" s="1" t="n">
        <v>46236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13020-2025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45734</v>
      </c>
      <c r="E899" s="1" t="n">
        <v>46236</v>
      </c>
      <c r="F899" t="inlineStr">
        <is>
          <t>KRONOBERGS LÄN</t>
        </is>
      </c>
      <c r="G899" t="inlineStr">
        <is>
          <t>LJUNGBY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30720-2025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46236</v>
      </c>
      <c r="F900" t="inlineStr">
        <is>
          <t>KRONOBERGS LÄN</t>
        </is>
      </c>
      <c r="G900" t="inlineStr">
        <is>
          <t>LJUNGBY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41979-2025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45903</v>
      </c>
      <c r="E901" s="1" t="n">
        <v>46236</v>
      </c>
      <c r="F901" t="inlineStr">
        <is>
          <t>KRONOBERGS LÄN</t>
        </is>
      </c>
      <c r="G901" t="inlineStr">
        <is>
          <t>LJUNGBY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8835-2024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45356</v>
      </c>
      <c r="E902" s="1" t="n">
        <v>46236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51096-2023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45218</v>
      </c>
      <c r="E903" s="1" t="n">
        <v>46236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32637-2025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45838</v>
      </c>
      <c r="E904" s="1" t="n">
        <v>46236</v>
      </c>
      <c r="F904" t="inlineStr">
        <is>
          <t>KRONOBERGS LÄN</t>
        </is>
      </c>
      <c r="G904" t="inlineStr">
        <is>
          <t>LJUNGBY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29336-2024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45483</v>
      </c>
      <c r="E905" s="1" t="n">
        <v>46236</v>
      </c>
      <c r="F905" t="inlineStr">
        <is>
          <t>KRONOBERGS LÄN</t>
        </is>
      </c>
      <c r="G905" t="inlineStr">
        <is>
          <t>LJUNGBY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45919-2023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45195</v>
      </c>
      <c r="E906" s="1" t="n">
        <v>46236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59688-2022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44908</v>
      </c>
      <c r="E907" s="1" t="n">
        <v>46236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48414-2022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44858</v>
      </c>
      <c r="E908" s="1" t="n">
        <v>46236</v>
      </c>
      <c r="F908" t="inlineStr">
        <is>
          <t>KRONOBERGS LÄN</t>
        </is>
      </c>
      <c r="G908" t="inlineStr">
        <is>
          <t>LJUNGBY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32044-2024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46236</v>
      </c>
      <c r="F909" t="inlineStr">
        <is>
          <t>KRONOBERGS LÄN</t>
        </is>
      </c>
      <c r="G909" t="inlineStr">
        <is>
          <t>LJUNGBY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11552-2025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45727</v>
      </c>
      <c r="E910" s="1" t="n">
        <v>46236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47243-2022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44852</v>
      </c>
      <c r="E911" s="1" t="n">
        <v>46236</v>
      </c>
      <c r="F911" t="inlineStr">
        <is>
          <t>KRONOBERGS LÄN</t>
        </is>
      </c>
      <c r="G911" t="inlineStr">
        <is>
          <t>LJUNGBY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64354-2023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45280</v>
      </c>
      <c r="E912" s="1" t="n">
        <v>46236</v>
      </c>
      <c r="F912" t="inlineStr">
        <is>
          <t>KRONOBERGS LÄN</t>
        </is>
      </c>
      <c r="G912" t="inlineStr">
        <is>
          <t>LJUNGBY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37374-2022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44809</v>
      </c>
      <c r="E913" s="1" t="n">
        <v>46236</v>
      </c>
      <c r="F913" t="inlineStr">
        <is>
          <t>KRONOBERGS LÄN</t>
        </is>
      </c>
      <c r="G913" t="inlineStr">
        <is>
          <t>LJUNGBY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37661-2025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45880</v>
      </c>
      <c r="E914" s="1" t="n">
        <v>46236</v>
      </c>
      <c r="F914" t="inlineStr">
        <is>
          <t>KRONOBERGS LÄN</t>
        </is>
      </c>
      <c r="G914" t="inlineStr">
        <is>
          <t>LJUNGBY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64052-2023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45279</v>
      </c>
      <c r="E915" s="1" t="n">
        <v>46236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61422-2023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45264</v>
      </c>
      <c r="E916" s="1" t="n">
        <v>46236</v>
      </c>
      <c r="F916" t="inlineStr">
        <is>
          <t>KRONOBERGS LÄN</t>
        </is>
      </c>
      <c r="G916" t="inlineStr">
        <is>
          <t>LJUNGBY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45679</v>
      </c>
      <c r="E917" s="1" t="n">
        <v>46236</v>
      </c>
      <c r="F917" t="inlineStr">
        <is>
          <t>KRONOBERGS LÄN</t>
        </is>
      </c>
      <c r="G917" t="inlineStr">
        <is>
          <t>LJUNGBY</t>
        </is>
      </c>
      <c r="I917" t="n">
        <v>7.3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45756</v>
      </c>
      <c r="E918" s="1" t="n">
        <v>46236</v>
      </c>
      <c r="F918" t="inlineStr">
        <is>
          <t>KRONOBERGS LÄN</t>
        </is>
      </c>
      <c r="G918" t="inlineStr">
        <is>
          <t>LJUNGBY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28322-2023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45099</v>
      </c>
      <c r="E919" s="1" t="n">
        <v>46236</v>
      </c>
      <c r="F919" t="inlineStr">
        <is>
          <t>KRONOBERGS LÄN</t>
        </is>
      </c>
      <c r="G919" t="inlineStr">
        <is>
          <t>LJUNGBY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39359-2023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45166</v>
      </c>
      <c r="E920" s="1" t="n">
        <v>46236</v>
      </c>
      <c r="F920" t="inlineStr">
        <is>
          <t>KRONOBERGS LÄN</t>
        </is>
      </c>
      <c r="G920" t="inlineStr">
        <is>
          <t>LJUNGBY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56877-2024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45628</v>
      </c>
      <c r="E921" s="1" t="n">
        <v>46236</v>
      </c>
      <c r="F921" t="inlineStr">
        <is>
          <t>KRONOBERGS LÄN</t>
        </is>
      </c>
      <c r="G921" t="inlineStr">
        <is>
          <t>LJUNGBY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23398-2025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45792</v>
      </c>
      <c r="E922" s="1" t="n">
        <v>46236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32042-2024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45510</v>
      </c>
      <c r="E923" s="1" t="n">
        <v>46236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24089-2025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45796</v>
      </c>
      <c r="E924" s="1" t="n">
        <v>46236</v>
      </c>
      <c r="F924" t="inlineStr">
        <is>
          <t>KRONOBERGS LÄN</t>
        </is>
      </c>
      <c r="G924" t="inlineStr">
        <is>
          <t>LJUNGBY</t>
        </is>
      </c>
      <c r="H924" t="inlineStr">
        <is>
          <t>Sveaskog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24108-2025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45796</v>
      </c>
      <c r="E925" s="1" t="n">
        <v>46236</v>
      </c>
      <c r="F925" t="inlineStr">
        <is>
          <t>KRONOBERGS LÄN</t>
        </is>
      </c>
      <c r="G925" t="inlineStr">
        <is>
          <t>LJUNGBY</t>
        </is>
      </c>
      <c r="H925" t="inlineStr">
        <is>
          <t>Sveaskog</t>
        </is>
      </c>
      <c r="I925" t="n">
        <v>5.9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52618-2023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45225</v>
      </c>
      <c r="E926" s="1" t="n">
        <v>46236</v>
      </c>
      <c r="F926" t="inlineStr">
        <is>
          <t>KRONOBERGS LÄN</t>
        </is>
      </c>
      <c r="G926" t="inlineStr">
        <is>
          <t>LJUNGBY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49541-2024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45596</v>
      </c>
      <c r="E927" s="1" t="n">
        <v>46236</v>
      </c>
      <c r="F927" t="inlineStr">
        <is>
          <t>KRONOBERGS LÄN</t>
        </is>
      </c>
      <c r="G927" t="inlineStr">
        <is>
          <t>LJUNGBY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51495-2024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45604</v>
      </c>
      <c r="E928" s="1" t="n">
        <v>46236</v>
      </c>
      <c r="F928" t="inlineStr">
        <is>
          <t>KRONOBERGS LÄN</t>
        </is>
      </c>
      <c r="G928" t="inlineStr">
        <is>
          <t>LJUNGBY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23808-2025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45793</v>
      </c>
      <c r="E929" s="1" t="n">
        <v>46236</v>
      </c>
      <c r="F929" t="inlineStr">
        <is>
          <t>KRONOBERGS LÄN</t>
        </is>
      </c>
      <c r="G929" t="inlineStr">
        <is>
          <t>LJUNGBY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24084-2025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45796</v>
      </c>
      <c r="E930" s="1" t="n">
        <v>46236</v>
      </c>
      <c r="F930" t="inlineStr">
        <is>
          <t>KRONOBERGS LÄN</t>
        </is>
      </c>
      <c r="G930" t="inlineStr">
        <is>
          <t>LJUNGBY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13132-2025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45734</v>
      </c>
      <c r="E931" s="1" t="n">
        <v>46236</v>
      </c>
      <c r="F931" t="inlineStr">
        <is>
          <t>KRONOBERGS LÄN</t>
        </is>
      </c>
      <c r="G931" t="inlineStr">
        <is>
          <t>LJUNGBY</t>
        </is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24097-2025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45796</v>
      </c>
      <c r="E932" s="1" t="n">
        <v>46236</v>
      </c>
      <c r="F932" t="inlineStr">
        <is>
          <t>KRONOBERGS LÄN</t>
        </is>
      </c>
      <c r="G932" t="inlineStr">
        <is>
          <t>LJUNGBY</t>
        </is>
      </c>
      <c r="H932" t="inlineStr">
        <is>
          <t>Sveaskog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49609-2024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45596</v>
      </c>
      <c r="E933" s="1" t="n">
        <v>46236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14230-2022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44651</v>
      </c>
      <c r="E934" s="1" t="n">
        <v>46236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44927</v>
      </c>
      <c r="E935" s="1" t="n">
        <v>46236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37318-2023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45156</v>
      </c>
      <c r="E936" s="1" t="n">
        <v>46236</v>
      </c>
      <c r="F936" t="inlineStr">
        <is>
          <t>KRONOBERGS LÄN</t>
        </is>
      </c>
      <c r="G936" t="inlineStr">
        <is>
          <t>LJUNGBY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61141-2024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45645</v>
      </c>
      <c r="E937" s="1" t="n">
        <v>46236</v>
      </c>
      <c r="F937" t="inlineStr">
        <is>
          <t>KRONOBERGS LÄN</t>
        </is>
      </c>
      <c r="G937" t="inlineStr">
        <is>
          <t>LJUNGBY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42232-2024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45562</v>
      </c>
      <c r="E938" s="1" t="n">
        <v>46236</v>
      </c>
      <c r="F938" t="inlineStr">
        <is>
          <t>KRONOBERGS LÄN</t>
        </is>
      </c>
      <c r="G938" t="inlineStr">
        <is>
          <t>LJUNGBY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59366-2023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45253</v>
      </c>
      <c r="E939" s="1" t="n">
        <v>46236</v>
      </c>
      <c r="F939" t="inlineStr">
        <is>
          <t>KRONOBERGS LÄN</t>
        </is>
      </c>
      <c r="G939" t="inlineStr">
        <is>
          <t>LJUNGBY</t>
        </is>
      </c>
      <c r="H939" t="inlineStr">
        <is>
          <t>Kyrkan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11302-2024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45371</v>
      </c>
      <c r="E940" s="1" t="n">
        <v>46236</v>
      </c>
      <c r="F940" t="inlineStr">
        <is>
          <t>KRONOBERGS LÄN</t>
        </is>
      </c>
      <c r="G940" t="inlineStr">
        <is>
          <t>LJUNGBY</t>
        </is>
      </c>
      <c r="I940" t="n">
        <v>12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27318-2025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45812</v>
      </c>
      <c r="E941" s="1" t="n">
        <v>46236</v>
      </c>
      <c r="F941" t="inlineStr">
        <is>
          <t>KRONOBERGS LÄN</t>
        </is>
      </c>
      <c r="G941" t="inlineStr">
        <is>
          <t>LJUNGBY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26926-2025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45811</v>
      </c>
      <c r="E942" s="1" t="n">
        <v>46236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26928-2025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45811</v>
      </c>
      <c r="E943" s="1" t="n">
        <v>46236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26936-2025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45811</v>
      </c>
      <c r="E944" s="1" t="n">
        <v>46236</v>
      </c>
      <c r="F944" t="inlineStr">
        <is>
          <t>KRONOBERGS LÄN</t>
        </is>
      </c>
      <c r="G944" t="inlineStr">
        <is>
          <t>LJUNGBY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4437-2025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45686</v>
      </c>
      <c r="E945" s="1" t="n">
        <v>46236</v>
      </c>
      <c r="F945" t="inlineStr">
        <is>
          <t>KRONOBERGS LÄN</t>
        </is>
      </c>
      <c r="G945" t="inlineStr">
        <is>
          <t>LJUNGBY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54474-2024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45617</v>
      </c>
      <c r="E946" s="1" t="n">
        <v>46236</v>
      </c>
      <c r="F946" t="inlineStr">
        <is>
          <t>KRONOBERGS LÄN</t>
        </is>
      </c>
      <c r="G946" t="inlineStr">
        <is>
          <t>LJUNGBY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18403-2025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45762</v>
      </c>
      <c r="E947" s="1" t="n">
        <v>46236</v>
      </c>
      <c r="F947" t="inlineStr">
        <is>
          <t>KRONOBERGS LÄN</t>
        </is>
      </c>
      <c r="G947" t="inlineStr">
        <is>
          <t>LJUNGBY</t>
        </is>
      </c>
      <c r="I947" t="n">
        <v>4.9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27972-2025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45817</v>
      </c>
      <c r="E948" s="1" t="n">
        <v>46236</v>
      </c>
      <c r="F948" t="inlineStr">
        <is>
          <t>KRONOBERGS LÄN</t>
        </is>
      </c>
      <c r="G948" t="inlineStr">
        <is>
          <t>LJUNGBY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33176-2024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45518</v>
      </c>
      <c r="E949" s="1" t="n">
        <v>46236</v>
      </c>
      <c r="F949" t="inlineStr">
        <is>
          <t>KRONOBERGS LÄN</t>
        </is>
      </c>
      <c r="G949" t="inlineStr">
        <is>
          <t>LJUNGBY</t>
        </is>
      </c>
      <c r="I949" t="n">
        <v>3.1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28334-2025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45818</v>
      </c>
      <c r="E950" s="1" t="n">
        <v>46236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29356-2025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45824</v>
      </c>
      <c r="E951" s="1" t="n">
        <v>46236</v>
      </c>
      <c r="F951" t="inlineStr">
        <is>
          <t>KRONOBERGS LÄN</t>
        </is>
      </c>
      <c r="G951" t="inlineStr">
        <is>
          <t>LJUNGBY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29915-2025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46236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29785-2025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46236</v>
      </c>
      <c r="F953" t="inlineStr">
        <is>
          <t>KRONOBERGS LÄN</t>
        </is>
      </c>
      <c r="G953" t="inlineStr">
        <is>
          <t>LJUNGBY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29959-2025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45826</v>
      </c>
      <c r="E954" s="1" t="n">
        <v>46236</v>
      </c>
      <c r="F954" t="inlineStr">
        <is>
          <t>KRONOBERGS LÄN</t>
        </is>
      </c>
      <c r="G954" t="inlineStr">
        <is>
          <t>LJUNGBY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46236</v>
      </c>
      <c r="F955" t="inlineStr">
        <is>
          <t>KRONOBERGS LÄN</t>
        </is>
      </c>
      <c r="G955" t="inlineStr">
        <is>
          <t>LJUNGBY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30549-2025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45831</v>
      </c>
      <c r="E956" s="1" t="n">
        <v>46236</v>
      </c>
      <c r="F956" t="inlineStr">
        <is>
          <t>KRONOBERGS LÄN</t>
        </is>
      </c>
      <c r="G956" t="inlineStr">
        <is>
          <t>LJUNGBY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30857-2025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45831</v>
      </c>
      <c r="E957" s="1" t="n">
        <v>46236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30538-2025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45831</v>
      </c>
      <c r="E958" s="1" t="n">
        <v>46236</v>
      </c>
      <c r="F958" t="inlineStr">
        <is>
          <t>KRONOBERGS LÄN</t>
        </is>
      </c>
      <c r="G958" t="inlineStr">
        <is>
          <t>LJUNGBY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30523-2025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45831</v>
      </c>
      <c r="E959" s="1" t="n">
        <v>46236</v>
      </c>
      <c r="F959" t="inlineStr">
        <is>
          <t>KRONOBERGS LÄN</t>
        </is>
      </c>
      <c r="G959" t="inlineStr">
        <is>
          <t>LJUNGBY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30521-2025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46236</v>
      </c>
      <c r="F960" t="inlineStr">
        <is>
          <t>KRONOBERGS LÄN</t>
        </is>
      </c>
      <c r="G960" t="inlineStr">
        <is>
          <t>LJUNGBY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30529-2025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46236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31602-2025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45833</v>
      </c>
      <c r="E962" s="1" t="n">
        <v>46236</v>
      </c>
      <c r="F962" t="inlineStr">
        <is>
          <t>KRONOBERGS LÄN</t>
        </is>
      </c>
      <c r="G962" t="inlineStr">
        <is>
          <t>LJUNGBY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32014-2025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45835</v>
      </c>
      <c r="E963" s="1" t="n">
        <v>46236</v>
      </c>
      <c r="F963" t="inlineStr">
        <is>
          <t>KRONOBERGS LÄN</t>
        </is>
      </c>
      <c r="G963" t="inlineStr">
        <is>
          <t>LJUNGBY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32390-2025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45837</v>
      </c>
      <c r="E964" s="1" t="n">
        <v>46236</v>
      </c>
      <c r="F964" t="inlineStr">
        <is>
          <t>KRONOBERGS LÄN</t>
        </is>
      </c>
      <c r="G964" t="inlineStr">
        <is>
          <t>LJUNGBY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32011-2025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45835</v>
      </c>
      <c r="E965" s="1" t="n">
        <v>46236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33152-2025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45840</v>
      </c>
      <c r="E966" s="1" t="n">
        <v>46236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33151-2025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45840</v>
      </c>
      <c r="E967" s="1" t="n">
        <v>46236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33811-2025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45842</v>
      </c>
      <c r="E968" s="1" t="n">
        <v>46236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20365-2025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45775</v>
      </c>
      <c r="E969" s="1" t="n">
        <v>46236</v>
      </c>
      <c r="F969" t="inlineStr">
        <is>
          <t>KRONOBERGS LÄN</t>
        </is>
      </c>
      <c r="G969" t="inlineStr">
        <is>
          <t>LJUNGBY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11071-2025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45723</v>
      </c>
      <c r="E970" s="1" t="n">
        <v>46236</v>
      </c>
      <c r="F970" t="inlineStr">
        <is>
          <t>KRONOBERGS LÄN</t>
        </is>
      </c>
      <c r="G970" t="inlineStr">
        <is>
          <t>LJUNGBY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34738-2025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45848</v>
      </c>
      <c r="E971" s="1" t="n">
        <v>46236</v>
      </c>
      <c r="F971" t="inlineStr">
        <is>
          <t>KRONOBERGS LÄN</t>
        </is>
      </c>
      <c r="G971" t="inlineStr">
        <is>
          <t>LJUNGBY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34742-2025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45848</v>
      </c>
      <c r="E972" s="1" t="n">
        <v>46236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12499-2025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45730</v>
      </c>
      <c r="E973" s="1" t="n">
        <v>46236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26979-2025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45811</v>
      </c>
      <c r="E974" s="1" t="n">
        <v>46236</v>
      </c>
      <c r="F974" t="inlineStr">
        <is>
          <t>KRONOBERGS LÄN</t>
        </is>
      </c>
      <c r="G974" t="inlineStr">
        <is>
          <t>LJUNGBY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35038-2025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45852</v>
      </c>
      <c r="E975" s="1" t="n">
        <v>46236</v>
      </c>
      <c r="F975" t="inlineStr">
        <is>
          <t>KRONOBERGS LÄN</t>
        </is>
      </c>
      <c r="G975" t="inlineStr">
        <is>
          <t>LJUNGBY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1265-2025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45667</v>
      </c>
      <c r="E976" s="1" t="n">
        <v>46236</v>
      </c>
      <c r="F976" t="inlineStr">
        <is>
          <t>KRONOBERGS LÄN</t>
        </is>
      </c>
      <c r="G976" t="inlineStr">
        <is>
          <t>LJUNGBY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27019-2025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45811</v>
      </c>
      <c r="E977" s="1" t="n">
        <v>46236</v>
      </c>
      <c r="F977" t="inlineStr">
        <is>
          <t>KRONOBERGS LÄN</t>
        </is>
      </c>
      <c r="G977" t="inlineStr">
        <is>
          <t>LJUNGBY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30018-2023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45109</v>
      </c>
      <c r="E978" s="1" t="n">
        <v>46236</v>
      </c>
      <c r="F978" t="inlineStr">
        <is>
          <t>KRONOBERGS LÄN</t>
        </is>
      </c>
      <c r="G978" t="inlineStr">
        <is>
          <t>LJUNGBY</t>
        </is>
      </c>
      <c r="I978" t="n">
        <v>13.6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35317-2024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45530</v>
      </c>
      <c r="E979" s="1" t="n">
        <v>46236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35790-2025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45860</v>
      </c>
      <c r="E980" s="1" t="n">
        <v>46236</v>
      </c>
      <c r="F980" t="inlineStr">
        <is>
          <t>KRONOBERGS LÄN</t>
        </is>
      </c>
      <c r="G980" t="inlineStr">
        <is>
          <t>LJUNGBY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36515-2025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45869</v>
      </c>
      <c r="E981" s="1" t="n">
        <v>46236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4.2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36460-2025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45869</v>
      </c>
      <c r="E982" s="1" t="n">
        <v>46236</v>
      </c>
      <c r="F982" t="inlineStr">
        <is>
          <t>KRONOBERGS LÄN</t>
        </is>
      </c>
      <c r="G982" t="inlineStr">
        <is>
          <t>LJUNGBY</t>
        </is>
      </c>
      <c r="H982" t="inlineStr">
        <is>
          <t>Kyrkan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36513-2025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45869</v>
      </c>
      <c r="E983" s="1" t="n">
        <v>46236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7.2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28991-2024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45481</v>
      </c>
      <c r="E984" s="1" t="n">
        <v>46236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21788-2025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46236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16128-2023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45026</v>
      </c>
      <c r="E986" s="1" t="n">
        <v>46236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46150-2022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44847</v>
      </c>
      <c r="E987" s="1" t="n">
        <v>46236</v>
      </c>
      <c r="F987" t="inlineStr">
        <is>
          <t>KRONOBERGS LÄN</t>
        </is>
      </c>
      <c r="G987" t="inlineStr">
        <is>
          <t>LJUNGBY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54182-2022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44881</v>
      </c>
      <c r="E988" s="1" t="n">
        <v>46236</v>
      </c>
      <c r="F988" t="inlineStr">
        <is>
          <t>KRONOBERGS LÄN</t>
        </is>
      </c>
      <c r="G988" t="inlineStr">
        <is>
          <t>LJUNGBY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49179-2022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44860</v>
      </c>
      <c r="E989" s="1" t="n">
        <v>46236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61893-2022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44917</v>
      </c>
      <c r="E990" s="1" t="n">
        <v>46236</v>
      </c>
      <c r="F990" t="inlineStr">
        <is>
          <t>KRONOBERGS LÄN</t>
        </is>
      </c>
      <c r="G990" t="inlineStr">
        <is>
          <t>LJUNGBY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28350-2023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45099</v>
      </c>
      <c r="E991" s="1" t="n">
        <v>46236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30561-2025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45831</v>
      </c>
      <c r="E992" s="1" t="n">
        <v>46236</v>
      </c>
      <c r="F992" t="inlineStr">
        <is>
          <t>KRONOBERGS LÄN</t>
        </is>
      </c>
      <c r="G992" t="inlineStr">
        <is>
          <t>LJUNGBY</t>
        </is>
      </c>
      <c r="I992" t="n">
        <v>7.1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14608-2024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45396</v>
      </c>
      <c r="E993" s="1" t="n">
        <v>46236</v>
      </c>
      <c r="F993" t="inlineStr">
        <is>
          <t>KRONOBERGS LÄN</t>
        </is>
      </c>
      <c r="G993" t="inlineStr">
        <is>
          <t>LJUNGBY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7004-2025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46236</v>
      </c>
      <c r="F994" t="inlineStr">
        <is>
          <t>KRONOBERGS LÄN</t>
        </is>
      </c>
      <c r="G994" t="inlineStr">
        <is>
          <t>LJUNGBY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18567-2024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45425</v>
      </c>
      <c r="E995" s="1" t="n">
        <v>46236</v>
      </c>
      <c r="F995" t="inlineStr">
        <is>
          <t>KRONOBERGS LÄN</t>
        </is>
      </c>
      <c r="G995" t="inlineStr">
        <is>
          <t>LJUNGBY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65062-2021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44515</v>
      </c>
      <c r="E996" s="1" t="n">
        <v>46236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65066-2021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44515</v>
      </c>
      <c r="E997" s="1" t="n">
        <v>46236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70888-2021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44538</v>
      </c>
      <c r="E998" s="1" t="n">
        <v>46236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54177-2022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44881</v>
      </c>
      <c r="E999" s="1" t="n">
        <v>46236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29408-2025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45824</v>
      </c>
      <c r="E1000" s="1" t="n">
        <v>46236</v>
      </c>
      <c r="F1000" t="inlineStr">
        <is>
          <t>KRONOBERGS LÄN</t>
        </is>
      </c>
      <c r="G1000" t="inlineStr">
        <is>
          <t>LJUNGBY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14402-2024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45394</v>
      </c>
      <c r="E1001" s="1" t="n">
        <v>46236</v>
      </c>
      <c r="F1001" t="inlineStr">
        <is>
          <t>KRONOBERGS LÄN</t>
        </is>
      </c>
      <c r="G1001" t="inlineStr">
        <is>
          <t>LJUNGBY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7008-2025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45701</v>
      </c>
      <c r="E1002" s="1" t="n">
        <v>46236</v>
      </c>
      <c r="F1002" t="inlineStr">
        <is>
          <t>KRONOBERGS LÄN</t>
        </is>
      </c>
      <c r="G1002" t="inlineStr">
        <is>
          <t>LJUNGBY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62717-2023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45271</v>
      </c>
      <c r="E1003" s="1" t="n">
        <v>46236</v>
      </c>
      <c r="F1003" t="inlineStr">
        <is>
          <t>KRONOBERGS LÄN</t>
        </is>
      </c>
      <c r="G1003" t="inlineStr">
        <is>
          <t>LJUNGBY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46236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51058-2023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45211</v>
      </c>
      <c r="E1005" s="1" t="n">
        <v>46236</v>
      </c>
      <c r="F1005" t="inlineStr">
        <is>
          <t>KRONOBERGS LÄN</t>
        </is>
      </c>
      <c r="G1005" t="inlineStr">
        <is>
          <t>LJUNGBY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1062-2024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45301</v>
      </c>
      <c r="E1006" s="1" t="n">
        <v>46236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34475-2025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45847</v>
      </c>
      <c r="E1007" s="1" t="n">
        <v>46236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51274-2021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44461</v>
      </c>
      <c r="E1008" s="1" t="n">
        <v>46236</v>
      </c>
      <c r="F1008" t="inlineStr">
        <is>
          <t>KRONOBERGS LÄN</t>
        </is>
      </c>
      <c r="G1008" t="inlineStr">
        <is>
          <t>LJUNGBY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10085-2022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44621</v>
      </c>
      <c r="E1009" s="1" t="n">
        <v>46236</v>
      </c>
      <c r="F1009" t="inlineStr">
        <is>
          <t>KRONOBERGS LÄN</t>
        </is>
      </c>
      <c r="G1009" t="inlineStr">
        <is>
          <t>LJUNGBY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22800-2022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44715</v>
      </c>
      <c r="E1010" s="1" t="n">
        <v>46236</v>
      </c>
      <c r="F1010" t="inlineStr">
        <is>
          <t>KRONOBERGS LÄN</t>
        </is>
      </c>
      <c r="G1010" t="inlineStr">
        <is>
          <t>LJUNGBY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13998-2025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45739</v>
      </c>
      <c r="E1011" s="1" t="n">
        <v>46236</v>
      </c>
      <c r="F1011" t="inlineStr">
        <is>
          <t>KRONOBERGS LÄN</t>
        </is>
      </c>
      <c r="G1011" t="inlineStr">
        <is>
          <t>LJUNGBY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14561-2024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45394</v>
      </c>
      <c r="E1012" s="1" t="n">
        <v>46236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35170-2023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45145</v>
      </c>
      <c r="E1013" s="1" t="n">
        <v>46236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2648-2025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45676</v>
      </c>
      <c r="E1014" s="1" t="n">
        <v>46236</v>
      </c>
      <c r="F1014" t="inlineStr">
        <is>
          <t>KRONOBERGS LÄN</t>
        </is>
      </c>
      <c r="G1014" t="inlineStr">
        <is>
          <t>LJUNGBY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16274-2025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45750</v>
      </c>
      <c r="E1015" s="1" t="n">
        <v>46236</v>
      </c>
      <c r="F1015" t="inlineStr">
        <is>
          <t>KRONOBERGS LÄN</t>
        </is>
      </c>
      <c r="G1015" t="inlineStr">
        <is>
          <t>LJUNGBY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51276-2021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44461</v>
      </c>
      <c r="E1016" s="1" t="n">
        <v>46236</v>
      </c>
      <c r="F1016" t="inlineStr">
        <is>
          <t>KRONOBERGS LÄN</t>
        </is>
      </c>
      <c r="G1016" t="inlineStr">
        <is>
          <t>LJUNGBY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46856-2021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44446</v>
      </c>
      <c r="E1017" s="1" t="n">
        <v>46236</v>
      </c>
      <c r="F1017" t="inlineStr">
        <is>
          <t>KRONOBERGS LÄN</t>
        </is>
      </c>
      <c r="G1017" t="inlineStr">
        <is>
          <t>LJUNGBY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25152-2023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45079</v>
      </c>
      <c r="E1018" s="1" t="n">
        <v>46236</v>
      </c>
      <c r="F1018" t="inlineStr">
        <is>
          <t>KRONOBERGS LÄN</t>
        </is>
      </c>
      <c r="G1018" t="inlineStr">
        <is>
          <t>LJUNGBY</t>
        </is>
      </c>
      <c r="I1018" t="n">
        <v>5.4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13388-2023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46236</v>
      </c>
      <c r="F1019" t="inlineStr">
        <is>
          <t>KRONOBERGS LÄN</t>
        </is>
      </c>
      <c r="G1019" t="inlineStr">
        <is>
          <t>LJUNGBY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63432-2023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45274</v>
      </c>
      <c r="E1020" s="1" t="n">
        <v>46236</v>
      </c>
      <c r="F1020" t="inlineStr">
        <is>
          <t>KRONOBERGS LÄN</t>
        </is>
      </c>
      <c r="G1020" t="inlineStr">
        <is>
          <t>LJUNGBY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35167-2023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45145</v>
      </c>
      <c r="E1021" s="1" t="n">
        <v>46236</v>
      </c>
      <c r="F1021" t="inlineStr">
        <is>
          <t>KRONOBERGS LÄN</t>
        </is>
      </c>
      <c r="G1021" t="inlineStr">
        <is>
          <t>LJUNGBY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57875-2023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45247</v>
      </c>
      <c r="E1022" s="1" t="n">
        <v>46236</v>
      </c>
      <c r="F1022" t="inlineStr">
        <is>
          <t>KRONOBERGS LÄN</t>
        </is>
      </c>
      <c r="G1022" t="inlineStr">
        <is>
          <t>LJUNGBY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61666-2024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45647</v>
      </c>
      <c r="E1023" s="1" t="n">
        <v>46236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45301</v>
      </c>
      <c r="E1024" s="1" t="n">
        <v>46236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49552-2023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45211</v>
      </c>
      <c r="E1025" s="1" t="n">
        <v>46236</v>
      </c>
      <c r="F1025" t="inlineStr">
        <is>
          <t>KRONOBERGS LÄN</t>
        </is>
      </c>
      <c r="G1025" t="inlineStr">
        <is>
          <t>LJUNGBY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37087-2025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45875</v>
      </c>
      <c r="E1026" s="1" t="n">
        <v>46236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37187-2025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45875</v>
      </c>
      <c r="E1027" s="1" t="n">
        <v>46236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37688-2025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45880</v>
      </c>
      <c r="E1028" s="1" t="n">
        <v>46236</v>
      </c>
      <c r="F1028" t="inlineStr">
        <is>
          <t>KRONOBERGS LÄN</t>
        </is>
      </c>
      <c r="G1028" t="inlineStr">
        <is>
          <t>LJUNGBY</t>
        </is>
      </c>
      <c r="I1028" t="n">
        <v>8.800000000000001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37779-2025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45880</v>
      </c>
      <c r="E1029" s="1" t="n">
        <v>46236</v>
      </c>
      <c r="F1029" t="inlineStr">
        <is>
          <t>KRONOBERGS LÄN</t>
        </is>
      </c>
      <c r="G1029" t="inlineStr">
        <is>
          <t>LJUNGBY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37793-2025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45881</v>
      </c>
      <c r="E1030" s="1" t="n">
        <v>46236</v>
      </c>
      <c r="F1030" t="inlineStr">
        <is>
          <t>KRONOBERGS LÄN</t>
        </is>
      </c>
      <c r="G1030" t="inlineStr">
        <is>
          <t>LJUNGBY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37805-2025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45881</v>
      </c>
      <c r="E1031" s="1" t="n">
        <v>46236</v>
      </c>
      <c r="F1031" t="inlineStr">
        <is>
          <t>KRONOBERGS LÄN</t>
        </is>
      </c>
      <c r="G1031" t="inlineStr">
        <is>
          <t>LJUNGBY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63719-2023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45275</v>
      </c>
      <c r="E1032" s="1" t="n">
        <v>46236</v>
      </c>
      <c r="F1032" t="inlineStr">
        <is>
          <t>KRONOBERGS LÄN</t>
        </is>
      </c>
      <c r="G1032" t="inlineStr">
        <is>
          <t>LJUNGBY</t>
        </is>
      </c>
      <c r="H1032" t="inlineStr">
        <is>
          <t>Kyrkan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46236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46236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46236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46236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46236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46236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46236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46236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46236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46236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46236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46236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46236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46236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46236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46236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46236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46236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46236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46236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46236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46236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46236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46236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46236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46236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46236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46236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46236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46236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46236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46236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4964-2021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44418</v>
      </c>
      <c r="E1065" s="1" t="n">
        <v>46236</v>
      </c>
      <c r="F1065" t="inlineStr">
        <is>
          <t>KRONOBERGS LÄN</t>
        </is>
      </c>
      <c r="G1065" t="inlineStr">
        <is>
          <t>LJUNGBY</t>
        </is>
      </c>
      <c r="I1065" t="n">
        <v>49.8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46236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46236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46236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46236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46236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46236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46236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46236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46236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46236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46236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46236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46236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46236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46236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46236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46236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46236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46236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46236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46236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46236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46236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46236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46236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46236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46236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46236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46027</v>
      </c>
      <c r="E1094" s="1" t="n">
        <v>46236</v>
      </c>
      <c r="F1094" t="inlineStr">
        <is>
          <t>KRONOBERGS LÄN</t>
        </is>
      </c>
      <c r="G1094" t="inlineStr">
        <is>
          <t>LJUNGBY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46236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46236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46063</v>
      </c>
      <c r="E1097" s="1" t="n">
        <v>46236</v>
      </c>
      <c r="F1097" t="inlineStr">
        <is>
          <t>KRONOBERGS LÄN</t>
        </is>
      </c>
      <c r="G1097" t="inlineStr">
        <is>
          <t>LJUNGBY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46236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46236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46236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46236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46236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46236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46236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2026-08-02T01:58:00Z</dcterms:created>
  <dcterms:modified xmlns:dcterms="http://purl.org/dc/terms/" xmlns:xsi="http://www.w3.org/2001/XMLSchema-instance" xsi:type="dcterms:W3CDTF">2026-08-02T01:58:01Z</dcterms:modified>
</cp:coreProperties>
</file>