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62564-2025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46007</v>
      </c>
      <c r="E2" s="1" t="n">
        <v>46311</v>
      </c>
      <c r="F2" t="inlineStr">
        <is>
          <t>KRONOBERGS LÄN</t>
        </is>
      </c>
      <c r="G2" t="inlineStr">
        <is>
          <t>LJUNGBY</t>
        </is>
      </c>
      <c r="I2" t="n">
        <v>2.1</v>
      </c>
      <c r="J2" t="n">
        <v>12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12</v>
      </c>
      <c r="T2" t="n">
        <v>13</v>
      </c>
      <c r="U2" t="n">
        <v>13</v>
      </c>
      <c r="V2" s="2" t="inlineStr">
        <is>
          <t>Drillsnäppa
Enkelbeckasin
Entita
Järnsparv
Kricka
Ladusvala
Skrattmås
Sädesärla
Fiskgjuse
Röd glada
Sävsparv
Trana</t>
        </is>
      </c>
      <c r="W2">
        <f>HYPERLINK("https://klasma.github.io/Logging_0781/artfynd/A 62564-2025 artfynd.xlsx", "A 62564-2025")</f>
        <v/>
      </c>
      <c r="X2">
        <f>HYPERLINK("https://klasma.github.io/Logging_0781/kartor/A 62564-2025 karta.png", "A 62564-2025")</f>
        <v/>
      </c>
      <c r="Y2">
        <f>HYPERLINK("https://klasma.github.io/Logging_0781/kartor_geotiff/A 62564-2025 georefererad karta.tif", "A 62564-2025")</f>
        <v/>
      </c>
      <c r="AA2">
        <f>HYPERLINK("https://klasma.github.io/Logging_0781/klagomål/A 62564-2025 FSC-klagomål.docx", "A 62564-2025")</f>
        <v/>
      </c>
      <c r="AB2">
        <f>HYPERLINK("https://klasma.github.io/Logging_0781/klagomålsmail/A 62564-2025 FSC-klagomål mail.docx", "A 62564-2025")</f>
        <v/>
      </c>
      <c r="AC2">
        <f>HYPERLINK("https://klasma.github.io/Logging_0781/tillsyn/A 62564-2025 tillsynsbegäran.docx", "A 62564-2025")</f>
        <v/>
      </c>
      <c r="AD2">
        <f>HYPERLINK("https://klasma.github.io/Logging_0781/tillsynsmail/A 62564-2025 tillsynsbegäran mail.docx", "A 62564-2025")</f>
        <v/>
      </c>
      <c r="AE2">
        <f>HYPERLINK("https://klasma.github.io/Logging_0781/fåglar/A 62564-2025 prioriterade fågelarter.docx", "A 62564-2025")</f>
        <v/>
      </c>
    </row>
    <row r="3" ht="15" customHeight="1">
      <c r="A3" t="inlineStr">
        <is>
          <t>A 29270-2023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45105</v>
      </c>
      <c r="E3" s="1" t="n">
        <v>46311</v>
      </c>
      <c r="F3" t="inlineStr">
        <is>
          <t>KRONOBERGS LÄN</t>
        </is>
      </c>
      <c r="G3" t="inlineStr">
        <is>
          <t>LJUNGBY</t>
        </is>
      </c>
      <c r="H3" t="inlineStr">
        <is>
          <t>Kommuner</t>
        </is>
      </c>
      <c r="I3" t="n">
        <v>3.5</v>
      </c>
      <c r="J3" t="n">
        <v>9</v>
      </c>
      <c r="K3" t="n">
        <v>2</v>
      </c>
      <c r="L3" t="n">
        <v>4</v>
      </c>
      <c r="M3" t="n">
        <v>1</v>
      </c>
      <c r="N3" t="n">
        <v>0</v>
      </c>
      <c r="O3" t="n">
        <v>0</v>
      </c>
      <c r="P3" t="n">
        <v>0</v>
      </c>
      <c r="Q3" t="n">
        <v>5</v>
      </c>
      <c r="R3" t="n">
        <v>1</v>
      </c>
      <c r="S3" t="n">
        <v>11</v>
      </c>
      <c r="T3" t="n">
        <v>11</v>
      </c>
      <c r="U3" t="n">
        <v>8</v>
      </c>
      <c r="V3" s="2" t="inlineStr">
        <is>
          <t>Tofsvipa
Duvhök
Järnsparv
Kricka
Skrattmås
Bronshjon
Vågbandad barkbock
Spillkråka
Buskskvätta
Röd glada
Trana</t>
        </is>
      </c>
      <c r="W3">
        <f>HYPERLINK("https://klasma.github.io/Logging_0781/artfynd/A 29270-2023 artfynd.xlsx", "A 29270-2023")</f>
        <v/>
      </c>
      <c r="X3">
        <f>HYPERLINK("https://klasma.github.io/Logging_0781/kartor/A 29270-2023 karta.png", "A 29270-2023")</f>
        <v/>
      </c>
      <c r="Y3">
        <f>HYPERLINK("https://klasma.github.io/Logging_0781/kartor_geotiff/A 29270-2023 georefererad karta.tif", "A 29270-2023")</f>
        <v/>
      </c>
      <c r="AA3">
        <f>HYPERLINK("https://klasma.github.io/Logging_0781/klagomål/A 29270-2023 FSC-klagomål.docx", "A 29270-2023")</f>
        <v/>
      </c>
      <c r="AB3">
        <f>HYPERLINK("https://klasma.github.io/Logging_0781/klagomålsmail/A 29270-2023 FSC-klagomål mail.docx", "A 29270-2023")</f>
        <v/>
      </c>
      <c r="AC3">
        <f>HYPERLINK("https://klasma.github.io/Logging_0781/tillsyn/A 29270-2023 tillsynsbegäran.docx", "A 29270-2023")</f>
        <v/>
      </c>
      <c r="AD3">
        <f>HYPERLINK("https://klasma.github.io/Logging_0781/tillsynsmail/A 29270-2023 tillsynsbegäran mail.docx", "A 29270-2023")</f>
        <v/>
      </c>
      <c r="AE3">
        <f>HYPERLINK("https://klasma.github.io/Logging_0781/fåglar/A 29270-2023 prioriterade fågelarter.docx", "A 29270-2023")</f>
        <v/>
      </c>
    </row>
    <row r="4" ht="15" customHeight="1">
      <c r="A4" t="inlineStr">
        <is>
          <t>S 713-2023</t>
        </is>
      </c>
      <c r="B4" t="inlineStr">
        <is>
          <t>samrådsanmälan</t>
        </is>
      </c>
      <c r="C4" t="inlineStr">
        <is>
          <t>Askåterföring</t>
        </is>
      </c>
      <c r="D4" s="1" t="n">
        <v>44978</v>
      </c>
      <c r="E4" s="1" t="n">
        <v>46311</v>
      </c>
      <c r="F4" t="inlineStr">
        <is>
          <t>KRONOBERGS LÄN</t>
        </is>
      </c>
      <c r="G4" t="inlineStr">
        <is>
          <t>LJUNGBY</t>
        </is>
      </c>
      <c r="I4" t="n">
        <v>257.8</v>
      </c>
      <c r="J4" t="n">
        <v>4</v>
      </c>
      <c r="K4" t="n">
        <v>4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4</v>
      </c>
      <c r="R4" t="n">
        <v>3</v>
      </c>
      <c r="S4" t="n">
        <v>10</v>
      </c>
      <c r="T4" t="n">
        <v>14</v>
      </c>
      <c r="U4" t="n">
        <v>3</v>
      </c>
      <c r="V4" s="2" t="inlineStr">
        <is>
          <t>Saffransticka
Kortskaftad parasitspik
Slåttergubbe
Talltita
Blanksvart trämyra
Gulpudrad spiklav
Havstulpanlav
Myskmadra
Tjäder
Vanlig padda</t>
        </is>
      </c>
      <c r="W4">
        <f>HYPERLINK("https://klasma.github.io/Logging_0781/artfynd/S 713-2023 artfynd.xlsx", "S 713-2023")</f>
        <v/>
      </c>
      <c r="X4">
        <f>HYPERLINK("https://klasma.github.io/Logging_0781/kartor/S 713-2023 karta.png", "S 713-2023")</f>
        <v/>
      </c>
      <c r="Y4">
        <f>HYPERLINK("https://klasma.github.io/Logging_0781/kartor_geotiff/S 713-2023 georefererad karta.tif", "S 713-2023")</f>
        <v/>
      </c>
      <c r="AA4">
        <f>HYPERLINK("https://klasma.github.io/Logging_0781/klagomål/S 713-2023 FSC-klagomål.docx", "S 713-2023")</f>
        <v/>
      </c>
      <c r="AB4">
        <f>HYPERLINK("https://klasma.github.io/Logging_0781/klagomålsmail/S 713-2023 FSC-klagomål mail.docx", "S 713-2023")</f>
        <v/>
      </c>
      <c r="AC4">
        <f>HYPERLINK("https://klasma.github.io/Logging_0781/tillsyn/S 713-2023 tillsynsbegäran.docx", "S 713-2023")</f>
        <v/>
      </c>
      <c r="AD4">
        <f>HYPERLINK("https://klasma.github.io/Logging_0781/tillsynsmail/S 713-2023 tillsynsbegäran mail.docx", "S 713-2023")</f>
        <v/>
      </c>
      <c r="AE4">
        <f>HYPERLINK("https://klasma.github.io/Logging_0781/fåglar/S 713-2023 prioriterade fågelarter.docx", "S 713-2023")</f>
        <v/>
      </c>
    </row>
    <row r="5" ht="15" customHeight="1">
      <c r="A5" t="inlineStr">
        <is>
          <t>S 2298-2025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45881</v>
      </c>
      <c r="E5" s="1" t="n">
        <v>46311</v>
      </c>
      <c r="F5" t="inlineStr">
        <is>
          <t>KRONOBERGS LÄN</t>
        </is>
      </c>
      <c r="G5" t="inlineStr">
        <is>
          <t>LJUNGBY</t>
        </is>
      </c>
      <c r="H5" t="inlineStr">
        <is>
          <t>Sveaskog</t>
        </is>
      </c>
      <c r="I5" t="n">
        <v>2.5</v>
      </c>
      <c r="J5" t="n">
        <v>4</v>
      </c>
      <c r="K5" t="n">
        <v>2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4</v>
      </c>
      <c r="R5" t="n">
        <v>3</v>
      </c>
      <c r="S5" t="n">
        <v>7</v>
      </c>
      <c r="T5" t="n">
        <v>10</v>
      </c>
      <c r="U5" t="n">
        <v>6</v>
      </c>
      <c r="V5" s="2" t="inlineStr">
        <is>
          <t>Havstrut
Myrspov
Sjötåtel
Skrattmås
Barkkornlav
Rostfläck
Trana</t>
        </is>
      </c>
      <c r="W5">
        <f>HYPERLINK("https://klasma.github.io/Logging_0781/artfynd/S 2298-2025 artfynd.xlsx", "S 2298-2025")</f>
        <v/>
      </c>
      <c r="X5">
        <f>HYPERLINK("https://klasma.github.io/Logging_0781/kartor/S 2298-2025 karta.png", "S 2298-2025")</f>
        <v/>
      </c>
      <c r="Y5">
        <f>HYPERLINK("https://klasma.github.io/Logging_0781/kartor_geotiff/S 2298-2025 georefererad karta.tif", "S 2298-2025")</f>
        <v/>
      </c>
      <c r="AA5">
        <f>HYPERLINK("https://klasma.github.io/Logging_0781/klagomål/S 2298-2025 FSC-klagomål.docx", "S 2298-2025")</f>
        <v/>
      </c>
      <c r="AB5">
        <f>HYPERLINK("https://klasma.github.io/Logging_0781/klagomålsmail/S 2298-2025 FSC-klagomål mail.docx", "S 2298-2025")</f>
        <v/>
      </c>
      <c r="AC5">
        <f>HYPERLINK("https://klasma.github.io/Logging_0781/tillsyn/S 2298-2025 tillsynsbegäran.docx", "S 2298-2025")</f>
        <v/>
      </c>
      <c r="AD5">
        <f>HYPERLINK("https://klasma.github.io/Logging_0781/tillsynsmail/S 2298-2025 tillsynsbegäran mail.docx", "S 2298-2025")</f>
        <v/>
      </c>
      <c r="AE5">
        <f>HYPERLINK("https://klasma.github.io/Logging_0781/fåglar/S 2298-2025 prioriterade fågelarter.docx", "S 2298-2025")</f>
        <v/>
      </c>
    </row>
    <row r="6" ht="15" customHeight="1">
      <c r="A6" t="inlineStr">
        <is>
          <t>S 1146-2023</t>
        </is>
      </c>
      <c r="B6" t="inlineStr">
        <is>
          <t>samrådsanmälan</t>
        </is>
      </c>
      <c r="C6" t="inlineStr">
        <is>
          <t>Askåterföring</t>
        </is>
      </c>
      <c r="D6" s="1" t="n">
        <v>45020</v>
      </c>
      <c r="E6" s="1" t="n">
        <v>46311</v>
      </c>
      <c r="F6" t="inlineStr">
        <is>
          <t>KRONOBERGS LÄN</t>
        </is>
      </c>
      <c r="G6" t="inlineStr">
        <is>
          <t>LJUNGBY</t>
        </is>
      </c>
      <c r="I6" t="n">
        <v>48.4</v>
      </c>
      <c r="J6" t="n">
        <v>4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6</v>
      </c>
      <c r="T6" t="n">
        <v>8</v>
      </c>
      <c r="U6" t="n">
        <v>5</v>
      </c>
      <c r="V6" s="2" t="inlineStr">
        <is>
          <t>Nordfladdermus
Fällmossa
Klippfrullania
Spindelblomster
Dvärgpipistrell
Vattenfladdermus</t>
        </is>
      </c>
      <c r="W6">
        <f>HYPERLINK("https://klasma.github.io/Logging_0781/artfynd/S 1146-2023 artfynd.xlsx", "S 1146-2023")</f>
        <v/>
      </c>
      <c r="X6">
        <f>HYPERLINK("https://klasma.github.io/Logging_0781/kartor/S 1146-2023 karta.png", "S 1146-2023")</f>
        <v/>
      </c>
      <c r="Y6">
        <f>HYPERLINK("https://klasma.github.io/Logging_0781/kartor_geotiff/S 1146-2023 georefererad karta.tif", "S 1146-2023")</f>
        <v/>
      </c>
      <c r="AA6">
        <f>HYPERLINK("https://klasma.github.io/Logging_0781/klagomål/S 1146-2023 FSC-klagomål.docx", "S 1146-2023")</f>
        <v/>
      </c>
      <c r="AB6">
        <f>HYPERLINK("https://klasma.github.io/Logging_0781/klagomålsmail/S 1146-2023 FSC-klagomål mail.docx", "S 1146-2023")</f>
        <v/>
      </c>
      <c r="AC6">
        <f>HYPERLINK("https://klasma.github.io/Logging_0781/tillsyn/S 1146-2023 tillsynsbegäran.docx", "S 1146-2023")</f>
        <v/>
      </c>
      <c r="AD6">
        <f>HYPERLINK("https://klasma.github.io/Logging_0781/tillsynsmail/S 1146-2023 tillsynsbegäran mail.docx", "S 1146-2023")</f>
        <v/>
      </c>
    </row>
    <row r="7" ht="15" customHeight="1">
      <c r="A7" t="inlineStr">
        <is>
          <t>S 1138-2025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45754</v>
      </c>
      <c r="E7" s="1" t="n">
        <v>46311</v>
      </c>
      <c r="F7" t="inlineStr">
        <is>
          <t>KRONOBERGS LÄN</t>
        </is>
      </c>
      <c r="G7" t="inlineStr">
        <is>
          <t>LJUNGBY</t>
        </is>
      </c>
      <c r="H7" t="inlineStr">
        <is>
          <t>Sveaskog</t>
        </is>
      </c>
      <c r="I7" t="n">
        <v>9.6</v>
      </c>
      <c r="J7" t="n">
        <v>1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6</v>
      </c>
      <c r="T7" t="n">
        <v>15</v>
      </c>
      <c r="U7" t="n">
        <v>12</v>
      </c>
      <c r="V7" s="2" t="inlineStr">
        <is>
          <t>Dvärgbägarlav
Bokfjädermossa
Bårdlav
Fällmossa
Klippfrullania
Gröngöling</t>
        </is>
      </c>
      <c r="W7">
        <f>HYPERLINK("https://klasma.github.io/Logging_0781/artfynd/S 1138-2025 artfynd.xlsx", "S 1138-2025")</f>
        <v/>
      </c>
      <c r="X7">
        <f>HYPERLINK("https://klasma.github.io/Logging_0781/kartor/S 1138-2025 karta.png", "S 1138-2025")</f>
        <v/>
      </c>
      <c r="Y7">
        <f>HYPERLINK("https://klasma.github.io/Logging_0781/kartor_geotiff/S 1138-2025 georefererad karta.tif", "S 1138-2025")</f>
        <v/>
      </c>
      <c r="AA7">
        <f>HYPERLINK("https://klasma.github.io/Logging_0781/klagomål/S 1138-2025 FSC-klagomål.docx", "S 1138-2025")</f>
        <v/>
      </c>
      <c r="AB7">
        <f>HYPERLINK("https://klasma.github.io/Logging_0781/klagomålsmail/S 1138-2025 FSC-klagomål mail.docx", "S 1138-2025")</f>
        <v/>
      </c>
      <c r="AC7">
        <f>HYPERLINK("https://klasma.github.io/Logging_0781/tillsyn/S 1138-2025 tillsynsbegäran.docx", "S 1138-2025")</f>
        <v/>
      </c>
      <c r="AD7">
        <f>HYPERLINK("https://klasma.github.io/Logging_0781/tillsynsmail/S 1138-2025 tillsynsbegäran mail.docx", "S 1138-2025")</f>
        <v/>
      </c>
    </row>
    <row r="8" ht="15" customHeight="1">
      <c r="A8" t="inlineStr">
        <is>
          <t>S 1913-2025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45826</v>
      </c>
      <c r="E8" s="1" t="n">
        <v>46311</v>
      </c>
      <c r="F8" t="inlineStr">
        <is>
          <t>KRONOBERGS LÄN</t>
        </is>
      </c>
      <c r="G8" t="inlineStr">
        <is>
          <t>LJUNGBY</t>
        </is>
      </c>
      <c r="I8" t="n">
        <v>9.800000000000001</v>
      </c>
      <c r="J8" t="n">
        <v>1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6</v>
      </c>
      <c r="T8" t="n">
        <v>11</v>
      </c>
      <c r="U8" t="n">
        <v>1</v>
      </c>
      <c r="V8" s="2" t="inlineStr">
        <is>
          <t>Kandelabersvamp
Fällmossa
Guldlockmossa
Klippfrullania
Lindskål
Blåsippa</t>
        </is>
      </c>
      <c r="W8">
        <f>HYPERLINK("https://klasma.github.io/Logging_0781/artfynd/S 1913-2025 artfynd.xlsx", "S 1913-2025")</f>
        <v/>
      </c>
      <c r="X8">
        <f>HYPERLINK("https://klasma.github.io/Logging_0781/kartor/S 1913-2025 karta.png", "S 1913-2025")</f>
        <v/>
      </c>
      <c r="Y8">
        <f>HYPERLINK("https://klasma.github.io/Logging_0781/kartor_geotiff/S 1913-2025 georefererad karta.tif", "S 1913-2025")</f>
        <v/>
      </c>
      <c r="AA8">
        <f>HYPERLINK("https://klasma.github.io/Logging_0781/klagomål/S 1913-2025 FSC-klagomål.docx", "S 1913-2025")</f>
        <v/>
      </c>
      <c r="AB8">
        <f>HYPERLINK("https://klasma.github.io/Logging_0781/klagomålsmail/S 1913-2025 FSC-klagomål mail.docx", "S 1913-2025")</f>
        <v/>
      </c>
      <c r="AC8">
        <f>HYPERLINK("https://klasma.github.io/Logging_0781/tillsyn/S 1913-2025 tillsynsbegäran.docx", "S 1913-2025")</f>
        <v/>
      </c>
      <c r="AD8">
        <f>HYPERLINK("https://klasma.github.io/Logging_0781/tillsynsmail/S 1913-2025 tillsynsbegäran mail.docx", "S 1913-2025")</f>
        <v/>
      </c>
    </row>
    <row r="9" ht="15" customHeight="1">
      <c r="A9" t="inlineStr">
        <is>
          <t>S 2230-2025</t>
        </is>
      </c>
      <c r="B9" t="inlineStr">
        <is>
          <t>samrådsanmälan</t>
        </is>
      </c>
      <c r="C9" t="inlineStr">
        <is>
          <t>Askåterföring</t>
        </is>
      </c>
      <c r="D9" s="1" t="n">
        <v>45867</v>
      </c>
      <c r="E9" s="1" t="n">
        <v>46311</v>
      </c>
      <c r="F9" t="inlineStr">
        <is>
          <t>KRONOBERGS LÄN</t>
        </is>
      </c>
      <c r="G9" t="inlineStr">
        <is>
          <t>LJUNGBY</t>
        </is>
      </c>
      <c r="I9" t="n">
        <v>13.2</v>
      </c>
      <c r="J9" t="n">
        <v>6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6</v>
      </c>
      <c r="T9" t="n">
        <v>6</v>
      </c>
      <c r="U9" t="n">
        <v>0</v>
      </c>
      <c r="V9" s="2" t="inlineStr">
        <is>
          <t>Barbastell
Brunlångöra
Fransfladdermus
Nordfladdermus
Dvärgpipistrell
Vattenfladdermus</t>
        </is>
      </c>
      <c r="W9">
        <f>HYPERLINK("https://klasma.github.io/Logging_0781/artfynd/S 2230-2025 artfynd.xlsx", "S 2230-2025")</f>
        <v/>
      </c>
      <c r="X9">
        <f>HYPERLINK("https://klasma.github.io/Logging_0781/kartor/S 2230-2025 karta.png", "S 2230-2025")</f>
        <v/>
      </c>
      <c r="Y9">
        <f>HYPERLINK("https://klasma.github.io/Logging_0781/kartor_geotiff/S 2230-2025 georefererad karta.tif", "S 2230-2025")</f>
        <v/>
      </c>
      <c r="AA9">
        <f>HYPERLINK("https://klasma.github.io/Logging_0781/klagomål/S 2230-2025 FSC-klagomål.docx", "S 2230-2025")</f>
        <v/>
      </c>
      <c r="AB9">
        <f>HYPERLINK("https://klasma.github.io/Logging_0781/klagomålsmail/S 2230-2025 FSC-klagomål mail.docx", "S 2230-2025")</f>
        <v/>
      </c>
      <c r="AC9">
        <f>HYPERLINK("https://klasma.github.io/Logging_0781/tillsyn/S 2230-2025 tillsynsbegäran.docx", "S 2230-2025")</f>
        <v/>
      </c>
      <c r="AD9">
        <f>HYPERLINK("https://klasma.github.io/Logging_0781/tillsynsmail/S 2230-2025 tillsynsbegäran mail.docx", "S 2230-2025")</f>
        <v/>
      </c>
    </row>
    <row r="10" ht="15" customHeight="1">
      <c r="A10" t="inlineStr">
        <is>
          <t>S 1188-2026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46139</v>
      </c>
      <c r="E10" s="1" t="n">
        <v>46311</v>
      </c>
      <c r="F10" t="inlineStr">
        <is>
          <t>KRONOBERGS LÄN</t>
        </is>
      </c>
      <c r="G10" t="inlineStr">
        <is>
          <t>LJUNGBY</t>
        </is>
      </c>
      <c r="I10" t="n">
        <v>1.9</v>
      </c>
      <c r="J10" t="n">
        <v>0</v>
      </c>
      <c r="K10" t="n">
        <v>4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6</v>
      </c>
      <c r="T10" t="n">
        <v>9</v>
      </c>
      <c r="U10" t="n">
        <v>0</v>
      </c>
      <c r="V10" s="2" t="inlineStr">
        <is>
          <t>Bokkantlav
Bokvårtlav
Havstulpanlav
Klippfrullania
Platt fjädermossa
Trädporella</t>
        </is>
      </c>
      <c r="W10">
        <f>HYPERLINK("https://klasma.github.io/Logging_0781/artfynd/S 1188-2026 artfynd.xlsx", "S 1188-2026")</f>
        <v/>
      </c>
      <c r="X10">
        <f>HYPERLINK("https://klasma.github.io/Logging_0781/kartor/S 1188-2026 karta.png", "S 1188-2026")</f>
        <v/>
      </c>
      <c r="Y10">
        <f>HYPERLINK("https://klasma.github.io/Logging_0781/kartor_geotiff/S 1188-2026 georefererad karta.tif", "S 1188-2026")</f>
        <v/>
      </c>
      <c r="AA10">
        <f>HYPERLINK("https://klasma.github.io/Logging_0781/klagomål/S 1188-2026 FSC-klagomål.docx", "S 1188-2026")</f>
        <v/>
      </c>
      <c r="AB10">
        <f>HYPERLINK("https://klasma.github.io/Logging_0781/klagomålsmail/S 1188-2026 FSC-klagomål mail.docx", "S 1188-2026")</f>
        <v/>
      </c>
      <c r="AC10">
        <f>HYPERLINK("https://klasma.github.io/Logging_0781/tillsyn/S 1188-2026 tillsynsbegäran.docx", "S 1188-2026")</f>
        <v/>
      </c>
      <c r="AD10">
        <f>HYPERLINK("https://klasma.github.io/Logging_0781/tillsynsmail/S 1188-2026 tillsynsbegäran mail.docx", "S 1188-2026")</f>
        <v/>
      </c>
    </row>
    <row r="11" ht="15" customHeight="1">
      <c r="A11" t="inlineStr">
        <is>
          <t>S 1460-2026</t>
        </is>
      </c>
      <c r="B11" t="inlineStr">
        <is>
          <t>samrådsanmälan</t>
        </is>
      </c>
      <c r="C11" t="inlineStr">
        <is>
          <t>Askåterföring</t>
        </is>
      </c>
      <c r="D11" s="1" t="n">
        <v>46161</v>
      </c>
      <c r="E11" s="1" t="n">
        <v>46311</v>
      </c>
      <c r="F11" t="inlineStr">
        <is>
          <t>KRONOBERGS LÄN</t>
        </is>
      </c>
      <c r="G11" t="inlineStr">
        <is>
          <t>LJUNGBY</t>
        </is>
      </c>
      <c r="I11" t="n">
        <v>12</v>
      </c>
      <c r="J11" t="n">
        <v>6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6</v>
      </c>
      <c r="T11" t="n">
        <v>6</v>
      </c>
      <c r="U11" t="n">
        <v>0</v>
      </c>
      <c r="V11" s="2" t="inlineStr">
        <is>
          <t>Barbastell
Brunlångöra
Fransfladdermus
Nordfladdermus
Dvärgpipistrell
Vattenfladdermus</t>
        </is>
      </c>
      <c r="W11">
        <f>HYPERLINK("https://klasma.github.io/Logging_0781/artfynd/S 1460-2026 artfynd.xlsx", "S 1460-2026")</f>
        <v/>
      </c>
      <c r="X11">
        <f>HYPERLINK("https://klasma.github.io/Logging_0781/kartor/S 1460-2026 karta.png", "S 1460-2026")</f>
        <v/>
      </c>
      <c r="Y11">
        <f>HYPERLINK("https://klasma.github.io/Logging_0781/kartor_geotiff/S 1460-2026 georefererad karta.tif", "S 1460-2026")</f>
        <v/>
      </c>
      <c r="AA11">
        <f>HYPERLINK("https://klasma.github.io/Logging_0781/klagomål/S 1460-2026 FSC-klagomål.docx", "S 1460-2026")</f>
        <v/>
      </c>
      <c r="AB11">
        <f>HYPERLINK("https://klasma.github.io/Logging_0781/klagomålsmail/S 1460-2026 FSC-klagomål mail.docx", "S 1460-2026")</f>
        <v/>
      </c>
      <c r="AC11">
        <f>HYPERLINK("https://klasma.github.io/Logging_0781/tillsyn/S 1460-2026 tillsynsbegäran.docx", "S 1460-2026")</f>
        <v/>
      </c>
      <c r="AD11">
        <f>HYPERLINK("https://klasma.github.io/Logging_0781/tillsynsmail/S 1460-2026 tillsynsbegäran mail.docx", "S 1460-2026")</f>
        <v/>
      </c>
    </row>
    <row r="12" ht="15" customHeight="1">
      <c r="A12" t="inlineStr">
        <is>
          <t>S 3279-2025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45985</v>
      </c>
      <c r="E12" s="1" t="n">
        <v>46311</v>
      </c>
      <c r="F12" t="inlineStr">
        <is>
          <t>KRONOBERGS LÄN</t>
        </is>
      </c>
      <c r="G12" t="inlineStr">
        <is>
          <t>LJUNGBY</t>
        </is>
      </c>
      <c r="I12" t="n">
        <v>3.4</v>
      </c>
      <c r="J12" t="n">
        <v>0</v>
      </c>
      <c r="K12" t="n">
        <v>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8</v>
      </c>
      <c r="U12" t="n">
        <v>0</v>
      </c>
      <c r="V12" s="2" t="inlineStr">
        <is>
          <t>Lunglav
Bokfjädermossa
Fällmossa
Guldlockmossa
Klippfrullania</t>
        </is>
      </c>
      <c r="W12">
        <f>HYPERLINK("https://klasma.github.io/Logging_0781/artfynd/S 3279-2025 artfynd.xlsx", "S 3279-2025")</f>
        <v/>
      </c>
      <c r="X12">
        <f>HYPERLINK("https://klasma.github.io/Logging_0781/kartor/S 3279-2025 karta.png", "S 3279-2025")</f>
        <v/>
      </c>
      <c r="Y12">
        <f>HYPERLINK("https://klasma.github.io/Logging_0781/kartor_geotiff/S 3279-2025 georefererad karta.tif", "S 3279-2025")</f>
        <v/>
      </c>
      <c r="AA12">
        <f>HYPERLINK("https://klasma.github.io/Logging_0781/klagomål/S 3279-2025 FSC-klagomål.docx", "S 3279-2025")</f>
        <v/>
      </c>
      <c r="AB12">
        <f>HYPERLINK("https://klasma.github.io/Logging_0781/klagomålsmail/S 3279-2025 FSC-klagomål mail.docx", "S 3279-2025")</f>
        <v/>
      </c>
      <c r="AC12">
        <f>HYPERLINK("https://klasma.github.io/Logging_0781/tillsyn/S 3279-2025 tillsynsbegäran.docx", "S 3279-2025")</f>
        <v/>
      </c>
      <c r="AD12">
        <f>HYPERLINK("https://klasma.github.io/Logging_0781/tillsynsmail/S 3279-2025 tillsynsbegäran mail.docx", "S 3279-2025")</f>
        <v/>
      </c>
    </row>
    <row r="13" ht="15" customHeight="1">
      <c r="A13" t="inlineStr">
        <is>
          <t>S 1932-2026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46203</v>
      </c>
      <c r="E13" s="1" t="n">
        <v>46311</v>
      </c>
      <c r="F13" t="inlineStr">
        <is>
          <t>KRONOBERGS LÄN</t>
        </is>
      </c>
      <c r="G13" t="inlineStr">
        <is>
          <t>LJUNGBY</t>
        </is>
      </c>
      <c r="I13" t="n">
        <v>5.8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5</v>
      </c>
      <c r="U13" t="n">
        <v>0</v>
      </c>
      <c r="V13" s="2" t="inlineStr">
        <is>
          <t>Grönsångare
Skuggmossa
Västlig hakmossa
Västlig husmossa
Fläcknycklar</t>
        </is>
      </c>
      <c r="W13">
        <f>HYPERLINK("https://klasma.github.io/Logging_0781/artfynd/S 1932-2026 artfynd.xlsx", "S 1932-2026")</f>
        <v/>
      </c>
      <c r="X13">
        <f>HYPERLINK("https://klasma.github.io/Logging_0781/kartor/S 1932-2026 karta.png", "S 1932-2026")</f>
        <v/>
      </c>
      <c r="Y13">
        <f>HYPERLINK("https://klasma.github.io/Logging_0781/kartor_geotiff/S 1932-2026 georefererad karta.tif", "S 1932-2026")</f>
        <v/>
      </c>
      <c r="AA13">
        <f>HYPERLINK("https://klasma.github.io/Logging_0781/klagomål/S 1932-2026 FSC-klagomål.docx", "S 1932-2026")</f>
        <v/>
      </c>
      <c r="AB13">
        <f>HYPERLINK("https://klasma.github.io/Logging_0781/klagomålsmail/S 1932-2026 FSC-klagomål mail.docx", "S 1932-2026")</f>
        <v/>
      </c>
      <c r="AC13">
        <f>HYPERLINK("https://klasma.github.io/Logging_0781/tillsyn/S 1932-2026 tillsynsbegäran.docx", "S 1932-2026")</f>
        <v/>
      </c>
      <c r="AD13">
        <f>HYPERLINK("https://klasma.github.io/Logging_0781/tillsynsmail/S 1932-2026 tillsynsbegäran mail.docx", "S 1932-2026")</f>
        <v/>
      </c>
      <c r="AE13">
        <f>HYPERLINK("https://klasma.github.io/Logging_0781/fåglar/S 1932-2026 prioriterade fågelarter.docx", "S 1932-2026")</f>
        <v/>
      </c>
    </row>
    <row r="14" ht="15" customHeight="1">
      <c r="A14" t="inlineStr">
        <is>
          <t>A 22668-2026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46155</v>
      </c>
      <c r="E14" s="1" t="n">
        <v>46311</v>
      </c>
      <c r="F14" t="inlineStr">
        <is>
          <t>KRONOBERGS LÄN</t>
        </is>
      </c>
      <c r="G14" t="inlineStr">
        <is>
          <t>LJUNGBY</t>
        </is>
      </c>
      <c r="I14" t="n">
        <v>1.4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4</v>
      </c>
      <c r="U14" t="n">
        <v>0</v>
      </c>
      <c r="V14" s="2" t="inlineStr">
        <is>
          <t>Dammfladdermus
Nordfladdermus
Dvärgpipistrell
Vattenfladdermus</t>
        </is>
      </c>
      <c r="W14">
        <f>HYPERLINK("https://klasma.github.io/Logging_0781/artfynd/A 22668-2026 artfynd.xlsx", "A 22668-2026")</f>
        <v/>
      </c>
      <c r="X14">
        <f>HYPERLINK("https://klasma.github.io/Logging_0781/kartor/A 22668-2026 karta.png", "A 22668-2026")</f>
        <v/>
      </c>
      <c r="Y14">
        <f>HYPERLINK("https://klasma.github.io/Logging_0781/kartor_geotiff/A 22668-2026 georefererad karta.tif", "A 22668-2026")</f>
        <v/>
      </c>
      <c r="AA14">
        <f>HYPERLINK("https://klasma.github.io/Logging_0781/klagomål/A 22668-2026 FSC-klagomål.docx", "A 22668-2026")</f>
        <v/>
      </c>
      <c r="AB14">
        <f>HYPERLINK("https://klasma.github.io/Logging_0781/klagomålsmail/A 22668-2026 FSC-klagomål mail.docx", "A 22668-2026")</f>
        <v/>
      </c>
      <c r="AC14">
        <f>HYPERLINK("https://klasma.github.io/Logging_0781/tillsyn/A 22668-2026 tillsynsbegäran.docx", "A 22668-2026")</f>
        <v/>
      </c>
      <c r="AD14">
        <f>HYPERLINK("https://klasma.github.io/Logging_0781/tillsynsmail/A 22668-2026 tillsynsbegäran mail.docx", "A 22668-2026")</f>
        <v/>
      </c>
    </row>
    <row r="15" ht="15" customHeight="1">
      <c r="A15" t="inlineStr">
        <is>
          <t>A 60865-2025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45999</v>
      </c>
      <c r="E15" s="1" t="n">
        <v>46311</v>
      </c>
      <c r="F15" t="inlineStr">
        <is>
          <t>KRONOBERGS LÄN</t>
        </is>
      </c>
      <c r="G15" t="inlineStr">
        <is>
          <t>LJUNGBY</t>
        </is>
      </c>
      <c r="H15" t="inlineStr">
        <is>
          <t>Kommuner</t>
        </is>
      </c>
      <c r="I15" t="n">
        <v>6.6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1</v>
      </c>
      <c r="S15" t="n">
        <v>4</v>
      </c>
      <c r="T15" t="n">
        <v>4</v>
      </c>
      <c r="U15" t="n">
        <v>0</v>
      </c>
      <c r="V15" s="2" t="inlineStr">
        <is>
          <t>Brun glada
Gulsparv
Stubbspretmossa
Röd glada</t>
        </is>
      </c>
      <c r="W15">
        <f>HYPERLINK("https://klasma.github.io/Logging_0781/artfynd/A 60865-2025 artfynd.xlsx", "A 60865-2025")</f>
        <v/>
      </c>
      <c r="X15">
        <f>HYPERLINK("https://klasma.github.io/Logging_0781/kartor/A 60865-2025 karta.png", "A 60865-2025")</f>
        <v/>
      </c>
      <c r="Y15">
        <f>HYPERLINK("https://klasma.github.io/Logging_0781/kartor_geotiff/A 60865-2025 georefererad karta.tif", "A 60865-2025")</f>
        <v/>
      </c>
      <c r="AA15">
        <f>HYPERLINK("https://klasma.github.io/Logging_0781/klagomål/A 60865-2025 FSC-klagomål.docx", "A 60865-2025")</f>
        <v/>
      </c>
      <c r="AB15">
        <f>HYPERLINK("https://klasma.github.io/Logging_0781/klagomålsmail/A 60865-2025 FSC-klagomål mail.docx", "A 60865-2025")</f>
        <v/>
      </c>
      <c r="AC15">
        <f>HYPERLINK("https://klasma.github.io/Logging_0781/tillsyn/A 60865-2025 tillsynsbegäran.docx", "A 60865-2025")</f>
        <v/>
      </c>
      <c r="AD15">
        <f>HYPERLINK("https://klasma.github.io/Logging_0781/tillsynsmail/A 60865-2025 tillsynsbegäran mail.docx", "A 60865-2025")</f>
        <v/>
      </c>
      <c r="AE15">
        <f>HYPERLINK("https://klasma.github.io/Logging_0781/fåglar/A 60865-2025 prioriterade fågelarter.docx", "A 60865-2025")</f>
        <v/>
      </c>
    </row>
    <row r="16" ht="15" customHeight="1">
      <c r="A16" t="inlineStr">
        <is>
          <t>S 2580-2023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45142</v>
      </c>
      <c r="E16" s="1" t="n">
        <v>46311</v>
      </c>
      <c r="F16" t="inlineStr">
        <is>
          <t>KRONOBERGS LÄN</t>
        </is>
      </c>
      <c r="G16" t="inlineStr">
        <is>
          <t>LJUNGBY</t>
        </is>
      </c>
      <c r="I16" t="n">
        <v>2.1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n">
        <v>6</v>
      </c>
      <c r="U16" t="n">
        <v>2</v>
      </c>
      <c r="V16" s="2" t="inlineStr">
        <is>
          <t>Skogsalm
Havstulpanlav
Lindskål
Spillkråka</t>
        </is>
      </c>
      <c r="W16">
        <f>HYPERLINK("https://klasma.github.io/Logging_0781/artfynd/S 2580-2023 artfynd.xlsx", "S 2580-2023")</f>
        <v/>
      </c>
      <c r="X16">
        <f>HYPERLINK("https://klasma.github.io/Logging_0781/kartor/S 2580-2023 karta.png", "S 2580-2023")</f>
        <v/>
      </c>
      <c r="Y16">
        <f>HYPERLINK("https://klasma.github.io/Logging_0781/kartor_geotiff/S 2580-2023 georefererad karta.tif", "S 2580-2023")</f>
        <v/>
      </c>
      <c r="AA16">
        <f>HYPERLINK("https://klasma.github.io/Logging_0781/klagomål/S 2580-2023 FSC-klagomål.docx", "S 2580-2023")</f>
        <v/>
      </c>
      <c r="AB16">
        <f>HYPERLINK("https://klasma.github.io/Logging_0781/klagomålsmail/S 2580-2023 FSC-klagomål mail.docx", "S 2580-2023")</f>
        <v/>
      </c>
      <c r="AC16">
        <f>HYPERLINK("https://klasma.github.io/Logging_0781/tillsyn/S 2580-2023 tillsynsbegäran.docx", "S 2580-2023")</f>
        <v/>
      </c>
      <c r="AD16">
        <f>HYPERLINK("https://klasma.github.io/Logging_0781/tillsynsmail/S 2580-2023 tillsynsbegäran mail.docx", "S 2580-2023")</f>
        <v/>
      </c>
      <c r="AE16">
        <f>HYPERLINK("https://klasma.github.io/Logging_0781/fåglar/S 2580-2023 prioriterade fågelarter.docx", "S 2580-2023")</f>
        <v/>
      </c>
    </row>
    <row r="17" ht="15" customHeight="1">
      <c r="A17" t="inlineStr">
        <is>
          <t>S 3853-2023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45229</v>
      </c>
      <c r="E17" s="1" t="n">
        <v>46311</v>
      </c>
      <c r="F17" t="inlineStr">
        <is>
          <t>KRONOBERGS LÄN</t>
        </is>
      </c>
      <c r="G17" t="inlineStr">
        <is>
          <t>LJUNGBY</t>
        </is>
      </c>
      <c r="I17" t="n">
        <v>0.5</v>
      </c>
      <c r="J17" t="n">
        <v>0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9</v>
      </c>
      <c r="U17" t="n">
        <v>0</v>
      </c>
      <c r="V17" s="2" t="inlineStr">
        <is>
          <t>Skogsalm
Guldlockmossa
Platt fjädermossa
Rostfläck</t>
        </is>
      </c>
      <c r="W17">
        <f>HYPERLINK("https://klasma.github.io/Logging_0781/artfynd/S 3853-2023 artfynd.xlsx", "S 3853-2023")</f>
        <v/>
      </c>
      <c r="X17">
        <f>HYPERLINK("https://klasma.github.io/Logging_0781/kartor/S 3853-2023 karta.png", "S 3853-2023")</f>
        <v/>
      </c>
      <c r="Y17">
        <f>HYPERLINK("https://klasma.github.io/Logging_0781/kartor_geotiff/S 3853-2023 georefererad karta.tif", "S 3853-2023")</f>
        <v/>
      </c>
      <c r="AA17">
        <f>HYPERLINK("https://klasma.github.io/Logging_0781/klagomål/S 3853-2023 FSC-klagomål.docx", "S 3853-2023")</f>
        <v/>
      </c>
      <c r="AB17">
        <f>HYPERLINK("https://klasma.github.io/Logging_0781/klagomålsmail/S 3853-2023 FSC-klagomål mail.docx", "S 3853-2023")</f>
        <v/>
      </c>
      <c r="AC17">
        <f>HYPERLINK("https://klasma.github.io/Logging_0781/tillsyn/S 3853-2023 tillsynsbegäran.docx", "S 3853-2023")</f>
        <v/>
      </c>
      <c r="AD17">
        <f>HYPERLINK("https://klasma.github.io/Logging_0781/tillsynsmail/S 3853-2023 tillsynsbegäran mail.docx", "S 3853-2023")</f>
        <v/>
      </c>
    </row>
    <row r="18" ht="15" customHeight="1">
      <c r="A18" t="inlineStr">
        <is>
          <t>S 1210-2025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45758</v>
      </c>
      <c r="E18" s="1" t="n">
        <v>46311</v>
      </c>
      <c r="F18" t="inlineStr">
        <is>
          <t>KRONOBERGS LÄN</t>
        </is>
      </c>
      <c r="G18" t="inlineStr">
        <is>
          <t>LJUNGBY</t>
        </is>
      </c>
      <c r="I18" t="n">
        <v>3.7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7</v>
      </c>
      <c r="U18" t="n">
        <v>0</v>
      </c>
      <c r="V18" s="2" t="inlineStr">
        <is>
          <t>Ask
Fällmossa
Klippfrullania
Rostfläck</t>
        </is>
      </c>
      <c r="W18">
        <f>HYPERLINK("https://klasma.github.io/Logging_0781/artfynd/S 1210-2025 artfynd.xlsx", "S 1210-2025")</f>
        <v/>
      </c>
      <c r="X18">
        <f>HYPERLINK("https://klasma.github.io/Logging_0781/kartor/S 1210-2025 karta.png", "S 1210-2025")</f>
        <v/>
      </c>
      <c r="Y18">
        <f>HYPERLINK("https://klasma.github.io/Logging_0781/kartor_geotiff/S 1210-2025 georefererad karta.tif", "S 1210-2025")</f>
        <v/>
      </c>
      <c r="AA18">
        <f>HYPERLINK("https://klasma.github.io/Logging_0781/klagomål/S 1210-2025 FSC-klagomål.docx", "S 1210-2025")</f>
        <v/>
      </c>
      <c r="AB18">
        <f>HYPERLINK("https://klasma.github.io/Logging_0781/klagomålsmail/S 1210-2025 FSC-klagomål mail.docx", "S 1210-2025")</f>
        <v/>
      </c>
      <c r="AC18">
        <f>HYPERLINK("https://klasma.github.io/Logging_0781/tillsyn/S 1210-2025 tillsynsbegäran.docx", "S 1210-2025")</f>
        <v/>
      </c>
      <c r="AD18">
        <f>HYPERLINK("https://klasma.github.io/Logging_0781/tillsynsmail/S 1210-2025 tillsynsbegäran mail.docx", "S 1210-2025")</f>
        <v/>
      </c>
    </row>
    <row r="19" ht="15" customHeight="1">
      <c r="A19" t="inlineStr">
        <is>
          <t>A 26375-2022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44735</v>
      </c>
      <c r="E19" s="1" t="n">
        <v>46311</v>
      </c>
      <c r="F19" t="inlineStr">
        <is>
          <t>KRONOBERGS LÄN</t>
        </is>
      </c>
      <c r="G19" t="inlineStr">
        <is>
          <t>LJUNGBY</t>
        </is>
      </c>
      <c r="I19" t="n">
        <v>9.1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6</v>
      </c>
      <c r="U19" t="n">
        <v>6</v>
      </c>
      <c r="V19" s="2" t="inlineStr">
        <is>
          <t>Gropticka
Stor revmossa
Vågbandad barkbock</t>
        </is>
      </c>
      <c r="W19">
        <f>HYPERLINK("https://klasma.github.io/Logging_0781/artfynd/A 26375-2022 artfynd.xlsx", "A 26375-2022")</f>
        <v/>
      </c>
      <c r="X19">
        <f>HYPERLINK("https://klasma.github.io/Logging_0781/kartor/A 26375-2022 karta.png", "A 26375-2022")</f>
        <v/>
      </c>
      <c r="Y19">
        <f>HYPERLINK("https://klasma.github.io/Logging_0781/kartor_geotiff/A 26375-2022 georefererad karta.tif", "A 26375-2022")</f>
        <v/>
      </c>
      <c r="AA19">
        <f>HYPERLINK("https://klasma.github.io/Logging_0781/klagomål/A 26375-2022 FSC-klagomål.docx", "A 26375-2022")</f>
        <v/>
      </c>
      <c r="AB19">
        <f>HYPERLINK("https://klasma.github.io/Logging_0781/klagomålsmail/A 26375-2022 FSC-klagomål mail.docx", "A 26375-2022")</f>
        <v/>
      </c>
      <c r="AC19">
        <f>HYPERLINK("https://klasma.github.io/Logging_0781/tillsyn/A 26375-2022 tillsynsbegäran.docx", "A 26375-2022")</f>
        <v/>
      </c>
      <c r="AD19">
        <f>HYPERLINK("https://klasma.github.io/Logging_0781/tillsynsmail/A 26375-2022 tillsynsbegäran mail.docx", "A 26375-2022")</f>
        <v/>
      </c>
    </row>
    <row r="20" ht="15" customHeight="1">
      <c r="A20" t="inlineStr">
        <is>
          <t>A 43369-2024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45568</v>
      </c>
      <c r="E20" s="1" t="n">
        <v>46311</v>
      </c>
      <c r="F20" t="inlineStr">
        <is>
          <t>KRONOBERGS LÄN</t>
        </is>
      </c>
      <c r="G20" t="inlineStr">
        <is>
          <t>LJUNGBY</t>
        </is>
      </c>
      <c r="I20" t="n">
        <v>1.6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3</v>
      </c>
      <c r="T20" t="n">
        <v>3</v>
      </c>
      <c r="U20" t="n">
        <v>3</v>
      </c>
      <c r="V20" s="2" t="inlineStr">
        <is>
          <t>Slåttergubbe
Fläcknycklar
Grönvit nattviol</t>
        </is>
      </c>
      <c r="W20">
        <f>HYPERLINK("https://klasma.github.io/Logging_0781/artfynd/A 43369-2024 artfynd.xlsx", "A 43369-2024")</f>
        <v/>
      </c>
      <c r="X20">
        <f>HYPERLINK("https://klasma.github.io/Logging_0781/kartor/A 43369-2024 karta.png", "A 43369-2024")</f>
        <v/>
      </c>
      <c r="Y20">
        <f>HYPERLINK("https://klasma.github.io/Logging_0781/kartor_geotiff/A 43369-2024 georefererad karta.tif", "A 43369-2024")</f>
        <v/>
      </c>
      <c r="AA20">
        <f>HYPERLINK("https://klasma.github.io/Logging_0781/klagomål/A 43369-2024 FSC-klagomål.docx", "A 43369-2024")</f>
        <v/>
      </c>
      <c r="AB20">
        <f>HYPERLINK("https://klasma.github.io/Logging_0781/klagomålsmail/A 43369-2024 FSC-klagomål mail.docx", "A 43369-2024")</f>
        <v/>
      </c>
      <c r="AC20">
        <f>HYPERLINK("https://klasma.github.io/Logging_0781/tillsyn/A 43369-2024 tillsynsbegäran.docx", "A 43369-2024")</f>
        <v/>
      </c>
      <c r="AD20">
        <f>HYPERLINK("https://klasma.github.io/Logging_0781/tillsynsmail/A 43369-2024 tillsynsbegäran mail.docx", "A 43369-2024")</f>
        <v/>
      </c>
    </row>
    <row r="21" ht="15" customHeight="1">
      <c r="A21" t="inlineStr">
        <is>
          <t>A 49550-2023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45211</v>
      </c>
      <c r="E21" s="1" t="n">
        <v>46311</v>
      </c>
      <c r="F21" t="inlineStr">
        <is>
          <t>KRONOBERGS LÄN</t>
        </is>
      </c>
      <c r="G21" t="inlineStr">
        <is>
          <t>LJUNGBY</t>
        </is>
      </c>
      <c r="I21" t="n">
        <v>2.1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4</v>
      </c>
      <c r="U21" t="n">
        <v>4</v>
      </c>
      <c r="V21" s="2" t="inlineStr">
        <is>
          <t>Talltita
Orre
Revlummer</t>
        </is>
      </c>
      <c r="W21">
        <f>HYPERLINK("https://klasma.github.io/Logging_0781/artfynd/A 49550-2023 artfynd.xlsx", "A 49550-2023")</f>
        <v/>
      </c>
      <c r="X21">
        <f>HYPERLINK("https://klasma.github.io/Logging_0781/kartor/A 49550-2023 karta.png", "A 49550-2023")</f>
        <v/>
      </c>
      <c r="Y21">
        <f>HYPERLINK("https://klasma.github.io/Logging_0781/kartor_geotiff/A 49550-2023 georefererad karta.tif", "A 49550-2023")</f>
        <v/>
      </c>
      <c r="AA21">
        <f>HYPERLINK("https://klasma.github.io/Logging_0781/klagomål/A 49550-2023 FSC-klagomål.docx", "A 49550-2023")</f>
        <v/>
      </c>
      <c r="AB21">
        <f>HYPERLINK("https://klasma.github.io/Logging_0781/klagomålsmail/A 49550-2023 FSC-klagomål mail.docx", "A 49550-2023")</f>
        <v/>
      </c>
      <c r="AC21">
        <f>HYPERLINK("https://klasma.github.io/Logging_0781/tillsyn/A 49550-2023 tillsynsbegäran.docx", "A 49550-2023")</f>
        <v/>
      </c>
      <c r="AD21">
        <f>HYPERLINK("https://klasma.github.io/Logging_0781/tillsynsmail/A 49550-2023 tillsynsbegäran mail.docx", "A 49550-2023")</f>
        <v/>
      </c>
      <c r="AE21">
        <f>HYPERLINK("https://klasma.github.io/Logging_0781/fåglar/A 49550-2023 prioriterade fågelarter.docx", "A 49550-2023")</f>
        <v/>
      </c>
    </row>
    <row r="22" ht="15" customHeight="1">
      <c r="A22" t="inlineStr">
        <is>
          <t>A 35313-2024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45530</v>
      </c>
      <c r="E22" s="1" t="n">
        <v>46311</v>
      </c>
      <c r="F22" t="inlineStr">
        <is>
          <t>KRONOBERGS LÄN</t>
        </is>
      </c>
      <c r="G22" t="inlineStr">
        <is>
          <t>LJUNGBY</t>
        </is>
      </c>
      <c r="I22" t="n">
        <v>0.6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3</v>
      </c>
      <c r="U22" t="n">
        <v>3</v>
      </c>
      <c r="V22" s="2" t="inlineStr">
        <is>
          <t>Svinrot
Ekorrbär
Liljekonvalj</t>
        </is>
      </c>
      <c r="W22">
        <f>HYPERLINK("https://klasma.github.io/Logging_0781/artfynd/A 35313-2024 artfynd.xlsx", "A 35313-2024")</f>
        <v/>
      </c>
      <c r="X22">
        <f>HYPERLINK("https://klasma.github.io/Logging_0781/kartor/A 35313-2024 karta.png", "A 35313-2024")</f>
        <v/>
      </c>
      <c r="Y22">
        <f>HYPERLINK("https://klasma.github.io/Logging_0781/kartor_geotiff/A 35313-2024 georefererad karta.tif", "A 35313-2024")</f>
        <v/>
      </c>
      <c r="AA22">
        <f>HYPERLINK("https://klasma.github.io/Logging_0781/klagomål/A 35313-2024 FSC-klagomål.docx", "A 35313-2024")</f>
        <v/>
      </c>
      <c r="AB22">
        <f>HYPERLINK("https://klasma.github.io/Logging_0781/klagomålsmail/A 35313-2024 FSC-klagomål mail.docx", "A 35313-2024")</f>
        <v/>
      </c>
      <c r="AC22">
        <f>HYPERLINK("https://klasma.github.io/Logging_0781/tillsyn/A 35313-2024 tillsynsbegäran.docx", "A 35313-2024")</f>
        <v/>
      </c>
      <c r="AD22">
        <f>HYPERLINK("https://klasma.github.io/Logging_0781/tillsynsmail/A 35313-2024 tillsynsbegäran mail.docx", "A 35313-2024")</f>
        <v/>
      </c>
    </row>
    <row r="23" ht="15" customHeight="1">
      <c r="A23" t="inlineStr">
        <is>
          <t>A 53849-2023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45224</v>
      </c>
      <c r="E23" s="1" t="n">
        <v>46311</v>
      </c>
      <c r="F23" t="inlineStr">
        <is>
          <t>KRONOBERGS LÄN</t>
        </is>
      </c>
      <c r="G23" t="inlineStr">
        <is>
          <t>LJUNGBY</t>
        </is>
      </c>
      <c r="H23" t="inlineStr">
        <is>
          <t>Kyrkan</t>
        </is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  <c r="R23" t="n">
        <v>2</v>
      </c>
      <c r="S23" t="n">
        <v>3</v>
      </c>
      <c r="T23" t="n">
        <v>3</v>
      </c>
      <c r="U23" t="n">
        <v>1</v>
      </c>
      <c r="V23" s="2" t="inlineStr">
        <is>
          <t>Vit stork
Igelkott
Tibast</t>
        </is>
      </c>
      <c r="W23">
        <f>HYPERLINK("https://klasma.github.io/Logging_0781/artfynd/A 53849-2023 artfynd.xlsx", "A 53849-2023")</f>
        <v/>
      </c>
      <c r="X23">
        <f>HYPERLINK("https://klasma.github.io/Logging_0781/kartor/A 53849-2023 karta.png", "A 53849-2023")</f>
        <v/>
      </c>
      <c r="Y23">
        <f>HYPERLINK("https://klasma.github.io/Logging_0781/kartor_geotiff/A 53849-2023 georefererad karta.tif", "A 53849-2023")</f>
        <v/>
      </c>
      <c r="AA23">
        <f>HYPERLINK("https://klasma.github.io/Logging_0781/klagomål/A 53849-2023 FSC-klagomål.docx", "A 53849-2023")</f>
        <v/>
      </c>
      <c r="AB23">
        <f>HYPERLINK("https://klasma.github.io/Logging_0781/klagomålsmail/A 53849-2023 FSC-klagomål mail.docx", "A 53849-2023")</f>
        <v/>
      </c>
      <c r="AC23">
        <f>HYPERLINK("https://klasma.github.io/Logging_0781/tillsyn/A 53849-2023 tillsynsbegäran.docx", "A 53849-2023")</f>
        <v/>
      </c>
      <c r="AD23">
        <f>HYPERLINK("https://klasma.github.io/Logging_0781/tillsynsmail/A 53849-2023 tillsynsbegäran mail.docx", "A 53849-2023")</f>
        <v/>
      </c>
    </row>
    <row r="24" ht="15" customHeight="1">
      <c r="A24" t="inlineStr">
        <is>
          <t>A 48175-2023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45205</v>
      </c>
      <c r="E24" s="1" t="n">
        <v>46311</v>
      </c>
      <c r="F24" t="inlineStr">
        <is>
          <t>KRONOBERGS LÄN</t>
        </is>
      </c>
      <c r="G24" t="inlineStr">
        <is>
          <t>LJUNGBY</t>
        </is>
      </c>
      <c r="I24" t="n">
        <v>1.5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n">
        <v>3</v>
      </c>
      <c r="U24" t="n">
        <v>0</v>
      </c>
      <c r="V24" s="2" t="inlineStr">
        <is>
          <t>Knärot
Orre
Skogsduva</t>
        </is>
      </c>
      <c r="W24">
        <f>HYPERLINK("https://klasma.github.io/Logging_0781/artfynd/A 48175-2023 artfynd.xlsx", "A 48175-2023")</f>
        <v/>
      </c>
      <c r="X24">
        <f>HYPERLINK("https://klasma.github.io/Logging_0781/kartor/A 48175-2023 karta.png", "A 48175-2023")</f>
        <v/>
      </c>
      <c r="Y24">
        <f>HYPERLINK("https://klasma.github.io/Logging_0781/kartor_geotiff/A 48175-2023 georefererad karta.tif", "A 48175-2023")</f>
        <v/>
      </c>
      <c r="Z24">
        <f>HYPERLINK("https://klasma.github.io/Logging_0781/knärot/A 48175-2023 karta knärot.png", "A 48175-2023")</f>
        <v/>
      </c>
      <c r="AA24">
        <f>HYPERLINK("https://klasma.github.io/Logging_0781/klagomål/A 48175-2023 FSC-klagomål.docx", "A 48175-2023")</f>
        <v/>
      </c>
      <c r="AB24">
        <f>HYPERLINK("https://klasma.github.io/Logging_0781/klagomålsmail/A 48175-2023 FSC-klagomål mail.docx", "A 48175-2023")</f>
        <v/>
      </c>
      <c r="AC24">
        <f>HYPERLINK("https://klasma.github.io/Logging_0781/tillsyn/A 48175-2023 tillsynsbegäran.docx", "A 48175-2023")</f>
        <v/>
      </c>
      <c r="AD24">
        <f>HYPERLINK("https://klasma.github.io/Logging_0781/tillsynsmail/A 48175-2023 tillsynsbegäran mail.docx", "A 48175-2023")</f>
        <v/>
      </c>
      <c r="AE24">
        <f>HYPERLINK("https://klasma.github.io/Logging_0781/fåglar/A 48175-2023 prioriterade fågelarter.docx", "A 48175-2023")</f>
        <v/>
      </c>
    </row>
    <row r="25" ht="15" customHeight="1">
      <c r="A25" t="inlineStr">
        <is>
          <t>A 7102-2025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45701</v>
      </c>
      <c r="E25" s="1" t="n">
        <v>46311</v>
      </c>
      <c r="F25" t="inlineStr">
        <is>
          <t>KRONOBERGS LÄN</t>
        </is>
      </c>
      <c r="G25" t="inlineStr">
        <is>
          <t>LJUNGBY</t>
        </is>
      </c>
      <c r="I25" t="n">
        <v>6.8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5</v>
      </c>
      <c r="U25" t="n">
        <v>0</v>
      </c>
      <c r="V25" s="2" t="inlineStr">
        <is>
          <t>Svart skogssnigel
Grönpyrola
Mattlummer</t>
        </is>
      </c>
      <c r="W25">
        <f>HYPERLINK("https://klasma.github.io/Logging_0781/artfynd/A 7102-2025 artfynd.xlsx", "A 7102-2025")</f>
        <v/>
      </c>
      <c r="X25">
        <f>HYPERLINK("https://klasma.github.io/Logging_0781/kartor/A 7102-2025 karta.png", "A 7102-2025")</f>
        <v/>
      </c>
      <c r="Y25">
        <f>HYPERLINK("https://klasma.github.io/Logging_0781/kartor_geotiff/A 7102-2025 georefererad karta.tif", "A 7102-2025")</f>
        <v/>
      </c>
      <c r="AA25">
        <f>HYPERLINK("https://klasma.github.io/Logging_0781/klagomål/A 7102-2025 FSC-klagomål.docx", "A 7102-2025")</f>
        <v/>
      </c>
      <c r="AB25">
        <f>HYPERLINK("https://klasma.github.io/Logging_0781/klagomålsmail/A 7102-2025 FSC-klagomål mail.docx", "A 7102-2025")</f>
        <v/>
      </c>
      <c r="AC25">
        <f>HYPERLINK("https://klasma.github.io/Logging_0781/tillsyn/A 7102-2025 tillsynsbegäran.docx", "A 7102-2025")</f>
        <v/>
      </c>
      <c r="AD25">
        <f>HYPERLINK("https://klasma.github.io/Logging_0781/tillsynsmail/A 7102-2025 tillsynsbegäran mail.docx", "A 7102-2025")</f>
        <v/>
      </c>
    </row>
    <row r="26" ht="15" customHeight="1">
      <c r="A26" t="inlineStr">
        <is>
          <t>A 23200-2026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46161</v>
      </c>
      <c r="E26" s="1" t="n">
        <v>46311</v>
      </c>
      <c r="F26" t="inlineStr">
        <is>
          <t>KRONOBERGS LÄN</t>
        </is>
      </c>
      <c r="G26" t="inlineStr">
        <is>
          <t>LJUNGBY</t>
        </is>
      </c>
      <c r="I26" t="n">
        <v>3.1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Brandticka
Dvärgpipistrell
Vattenfladdermus</t>
        </is>
      </c>
      <c r="W26">
        <f>HYPERLINK("https://klasma.github.io/Logging_0781/artfynd/A 23200-2026 artfynd.xlsx", "A 23200-2026")</f>
        <v/>
      </c>
      <c r="X26">
        <f>HYPERLINK("https://klasma.github.io/Logging_0781/kartor/A 23200-2026 karta.png", "A 23200-2026")</f>
        <v/>
      </c>
      <c r="Y26">
        <f>HYPERLINK("https://klasma.github.io/Logging_0781/kartor_geotiff/A 23200-2026 georefererad karta.tif", "A 23200-2026")</f>
        <v/>
      </c>
      <c r="AA26">
        <f>HYPERLINK("https://klasma.github.io/Logging_0781/klagomål/A 23200-2026 FSC-klagomål.docx", "A 23200-2026")</f>
        <v/>
      </c>
      <c r="AB26">
        <f>HYPERLINK("https://klasma.github.io/Logging_0781/klagomålsmail/A 23200-2026 FSC-klagomål mail.docx", "A 23200-2026")</f>
        <v/>
      </c>
      <c r="AC26">
        <f>HYPERLINK("https://klasma.github.io/Logging_0781/tillsyn/A 23200-2026 tillsynsbegäran.docx", "A 23200-2026")</f>
        <v/>
      </c>
      <c r="AD26">
        <f>HYPERLINK("https://klasma.github.io/Logging_0781/tillsynsmail/A 23200-2026 tillsynsbegäran mail.docx", "A 23200-2026")</f>
        <v/>
      </c>
    </row>
    <row r="27" ht="15" customHeight="1">
      <c r="A27" t="inlineStr">
        <is>
          <t>A 36046-2024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45533</v>
      </c>
      <c r="E27" s="1" t="n">
        <v>46311</v>
      </c>
      <c r="F27" t="inlineStr">
        <is>
          <t>KRONOBERGS LÄN</t>
        </is>
      </c>
      <c r="G27" t="inlineStr">
        <is>
          <t>LJUNGBY</t>
        </is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3</v>
      </c>
      <c r="T27" t="n">
        <v>5</v>
      </c>
      <c r="U27" t="n">
        <v>0</v>
      </c>
      <c r="V27" s="2" t="inlineStr">
        <is>
          <t>Brunpudrad nållav
Brandticka
Spillkråka</t>
        </is>
      </c>
      <c r="W27">
        <f>HYPERLINK("https://klasma.github.io/Logging_0781/artfynd/A 36046-2024 artfynd.xlsx", "A 36046-2024")</f>
        <v/>
      </c>
      <c r="X27">
        <f>HYPERLINK("https://klasma.github.io/Logging_0781/kartor/A 36046-2024 karta.png", "A 36046-2024")</f>
        <v/>
      </c>
      <c r="Y27">
        <f>HYPERLINK("https://klasma.github.io/Logging_0781/kartor_geotiff/A 36046-2024 georefererad karta.tif", "A 36046-2024")</f>
        <v/>
      </c>
      <c r="AA27">
        <f>HYPERLINK("https://klasma.github.io/Logging_0781/klagomål/A 36046-2024 FSC-klagomål.docx", "A 36046-2024")</f>
        <v/>
      </c>
      <c r="AB27">
        <f>HYPERLINK("https://klasma.github.io/Logging_0781/klagomålsmail/A 36046-2024 FSC-klagomål mail.docx", "A 36046-2024")</f>
        <v/>
      </c>
      <c r="AC27">
        <f>HYPERLINK("https://klasma.github.io/Logging_0781/tillsyn/A 36046-2024 tillsynsbegäran.docx", "A 36046-2024")</f>
        <v/>
      </c>
      <c r="AD27">
        <f>HYPERLINK("https://klasma.github.io/Logging_0781/tillsynsmail/A 36046-2024 tillsynsbegäran mail.docx", "A 36046-2024")</f>
        <v/>
      </c>
      <c r="AE27">
        <f>HYPERLINK("https://klasma.github.io/Logging_0781/fåglar/A 36046-2024 prioriterade fågelarter.docx", "A 36046-2024")</f>
        <v/>
      </c>
    </row>
    <row r="28" ht="15" customHeight="1">
      <c r="A28" t="inlineStr">
        <is>
          <t>A 62678-2025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46008</v>
      </c>
      <c r="E28" s="1" t="n">
        <v>46311</v>
      </c>
      <c r="F28" t="inlineStr">
        <is>
          <t>KRONOBERGS LÄN</t>
        </is>
      </c>
      <c r="G28" t="inlineStr">
        <is>
          <t>LJUNGBY</t>
        </is>
      </c>
      <c r="I28" t="n">
        <v>0.4</v>
      </c>
      <c r="J28" t="n">
        <v>3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3</v>
      </c>
      <c r="T28" t="n">
        <v>3</v>
      </c>
      <c r="U28" t="n">
        <v>1</v>
      </c>
      <c r="V28" s="2" t="inlineStr">
        <is>
          <t>Talltita
Spillkråka
Gröngöling</t>
        </is>
      </c>
      <c r="W28">
        <f>HYPERLINK("https://klasma.github.io/Logging_0781/artfynd/A 62678-2025 artfynd.xlsx", "A 62678-2025")</f>
        <v/>
      </c>
      <c r="X28">
        <f>HYPERLINK("https://klasma.github.io/Logging_0781/kartor/A 62678-2025 karta.png", "A 62678-2025")</f>
        <v/>
      </c>
      <c r="Y28">
        <f>HYPERLINK("https://klasma.github.io/Logging_0781/kartor_geotiff/A 62678-2025 georefererad karta.tif", "A 62678-2025")</f>
        <v/>
      </c>
      <c r="AA28">
        <f>HYPERLINK("https://klasma.github.io/Logging_0781/klagomål/A 62678-2025 FSC-klagomål.docx", "A 62678-2025")</f>
        <v/>
      </c>
      <c r="AB28">
        <f>HYPERLINK("https://klasma.github.io/Logging_0781/klagomålsmail/A 62678-2025 FSC-klagomål mail.docx", "A 62678-2025")</f>
        <v/>
      </c>
      <c r="AC28">
        <f>HYPERLINK("https://klasma.github.io/Logging_0781/tillsyn/A 62678-2025 tillsynsbegäran.docx", "A 62678-2025")</f>
        <v/>
      </c>
      <c r="AD28">
        <f>HYPERLINK("https://klasma.github.io/Logging_0781/tillsynsmail/A 62678-2025 tillsynsbegäran mail.docx", "A 62678-2025")</f>
        <v/>
      </c>
      <c r="AE28">
        <f>HYPERLINK("https://klasma.github.io/Logging_0781/fåglar/A 62678-2025 prioriterade fågelarter.docx", "A 62678-2025")</f>
        <v/>
      </c>
    </row>
    <row r="29" ht="15" customHeight="1">
      <c r="A29" t="inlineStr">
        <is>
          <t>S 4210-2023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45253</v>
      </c>
      <c r="E29" s="1" t="n">
        <v>46311</v>
      </c>
      <c r="F29" t="inlineStr">
        <is>
          <t>KRONOBERGS LÄN</t>
        </is>
      </c>
      <c r="G29" t="inlineStr">
        <is>
          <t>LJUNGBY</t>
        </is>
      </c>
      <c r="I29" t="n">
        <v>4.9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5</v>
      </c>
      <c r="U29" t="n">
        <v>0</v>
      </c>
      <c r="V29" s="2" t="inlineStr">
        <is>
          <t>Gullpudra
Ärtsångare
Vanlig groda</t>
        </is>
      </c>
      <c r="W29">
        <f>HYPERLINK("https://klasma.github.io/Logging_0781/artfynd/S 4210-2023 artfynd.xlsx", "S 4210-2023")</f>
        <v/>
      </c>
      <c r="X29">
        <f>HYPERLINK("https://klasma.github.io/Logging_0781/kartor/S 4210-2023 karta.png", "S 4210-2023")</f>
        <v/>
      </c>
      <c r="Y29">
        <f>HYPERLINK("https://klasma.github.io/Logging_0781/kartor_geotiff/S 4210-2023 georefererad karta.tif", "S 4210-2023")</f>
        <v/>
      </c>
      <c r="AA29">
        <f>HYPERLINK("https://klasma.github.io/Logging_0781/klagomål/S 4210-2023 FSC-klagomål.docx", "S 4210-2023")</f>
        <v/>
      </c>
      <c r="AB29">
        <f>HYPERLINK("https://klasma.github.io/Logging_0781/klagomålsmail/S 4210-2023 FSC-klagomål mail.docx", "S 4210-2023")</f>
        <v/>
      </c>
      <c r="AC29">
        <f>HYPERLINK("https://klasma.github.io/Logging_0781/tillsyn/S 4210-2023 tillsynsbegäran.docx", "S 4210-2023")</f>
        <v/>
      </c>
      <c r="AD29">
        <f>HYPERLINK("https://klasma.github.io/Logging_0781/tillsynsmail/S 4210-2023 tillsynsbegäran mail.docx", "S 4210-2023")</f>
        <v/>
      </c>
    </row>
    <row r="30" ht="15" customHeight="1">
      <c r="A30" t="inlineStr">
        <is>
          <t>S 705-2023</t>
        </is>
      </c>
      <c r="B30" t="inlineStr">
        <is>
          <t>samrådsanmälan</t>
        </is>
      </c>
      <c r="C30" t="inlineStr">
        <is>
          <t>Askåterföring</t>
        </is>
      </c>
      <c r="D30" s="1" t="n">
        <v>44978</v>
      </c>
      <c r="E30" s="1" t="n">
        <v>46311</v>
      </c>
      <c r="F30" t="inlineStr">
        <is>
          <t>KRONOBERGS LÄN</t>
        </is>
      </c>
      <c r="G30" t="inlineStr">
        <is>
          <t>LJUNGBY</t>
        </is>
      </c>
      <c r="I30" t="n">
        <v>210.6</v>
      </c>
      <c r="J30" t="n">
        <v>2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3</v>
      </c>
      <c r="T30" t="n">
        <v>12</v>
      </c>
      <c r="U30" t="n">
        <v>9</v>
      </c>
      <c r="V30" s="2" t="inlineStr">
        <is>
          <t>Klockgentiana
Sjötåtel
Orre</t>
        </is>
      </c>
      <c r="W30">
        <f>HYPERLINK("https://klasma.github.io/Logging_0781/artfynd/S 705-2023 artfynd.xlsx", "S 705-2023")</f>
        <v/>
      </c>
      <c r="X30">
        <f>HYPERLINK("https://klasma.github.io/Logging_0781/kartor/S 705-2023 karta.png", "S 705-2023")</f>
        <v/>
      </c>
      <c r="Y30">
        <f>HYPERLINK("https://klasma.github.io/Logging_0781/kartor_geotiff/S 705-2023 georefererad karta.tif", "S 705-2023")</f>
        <v/>
      </c>
      <c r="AA30">
        <f>HYPERLINK("https://klasma.github.io/Logging_0781/klagomål/S 705-2023 FSC-klagomål.docx", "S 705-2023")</f>
        <v/>
      </c>
      <c r="AB30">
        <f>HYPERLINK("https://klasma.github.io/Logging_0781/klagomålsmail/S 705-2023 FSC-klagomål mail.docx", "S 705-2023")</f>
        <v/>
      </c>
      <c r="AC30">
        <f>HYPERLINK("https://klasma.github.io/Logging_0781/tillsyn/S 705-2023 tillsynsbegäran.docx", "S 705-2023")</f>
        <v/>
      </c>
      <c r="AD30">
        <f>HYPERLINK("https://klasma.github.io/Logging_0781/tillsynsmail/S 705-2023 tillsynsbegäran mail.docx", "S 705-2023")</f>
        <v/>
      </c>
      <c r="AE30">
        <f>HYPERLINK("https://klasma.github.io/Logging_0781/fåglar/S 705-2023 prioriterade fågelarter.docx", "S 705-2023")</f>
        <v/>
      </c>
    </row>
    <row r="31" ht="15" customHeight="1">
      <c r="A31" t="inlineStr">
        <is>
          <t>S 2413-2026</t>
        </is>
      </c>
      <c r="B31" t="inlineStr">
        <is>
          <t>samrådsanmälan</t>
        </is>
      </c>
      <c r="C31" t="inlineStr">
        <is>
          <t>Annan skogsbruksåtgärd</t>
        </is>
      </c>
      <c r="D31" s="1" t="n">
        <v>46279</v>
      </c>
      <c r="E31" s="1" t="n">
        <v>46311</v>
      </c>
      <c r="F31" t="inlineStr">
        <is>
          <t>KRONOBERGS LÄN</t>
        </is>
      </c>
      <c r="G31" t="inlineStr">
        <is>
          <t>LJUNGBY</t>
        </is>
      </c>
      <c r="H31" t="inlineStr">
        <is>
          <t>Sveaskog</t>
        </is>
      </c>
      <c r="I31" t="n">
        <v>3.4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6</v>
      </c>
      <c r="U31" t="n">
        <v>0</v>
      </c>
      <c r="V31" s="2" t="inlineStr">
        <is>
          <t>Bokfjädermossa
Fällmossa
Klippfrullania</t>
        </is>
      </c>
      <c r="W31">
        <f>HYPERLINK("https://klasma.github.io/Logging_0781/artfynd/S 2413-2026 artfynd.xlsx", "S 2413-2026")</f>
        <v/>
      </c>
      <c r="X31">
        <f>HYPERLINK("https://klasma.github.io/Logging_0781/kartor/S 2413-2026 karta.png", "S 2413-2026")</f>
        <v/>
      </c>
      <c r="Y31">
        <f>HYPERLINK("https://klasma.github.io/Logging_0781/kartor_geotiff/S 2413-2026 georefererad karta.tif", "S 2413-2026")</f>
        <v/>
      </c>
      <c r="AA31">
        <f>HYPERLINK("https://klasma.github.io/Logging_0781/klagomål/S 2413-2026 FSC-klagomål.docx", "S 2413-2026")</f>
        <v/>
      </c>
      <c r="AB31">
        <f>HYPERLINK("https://klasma.github.io/Logging_0781/klagomålsmail/S 2413-2026 FSC-klagomål mail.docx", "S 2413-2026")</f>
        <v/>
      </c>
      <c r="AC31">
        <f>HYPERLINK("https://klasma.github.io/Logging_0781/tillsyn/S 2413-2026 tillsynsbegäran.docx", "S 2413-2026")</f>
        <v/>
      </c>
      <c r="AD31">
        <f>HYPERLINK("https://klasma.github.io/Logging_0781/tillsynsmail/S 2413-2026 tillsynsbegäran mail.docx", "S 2413-2026")</f>
        <v/>
      </c>
    </row>
    <row r="32" ht="15" customHeight="1">
      <c r="A32" t="inlineStr">
        <is>
          <t>A 67665-2021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44524</v>
      </c>
      <c r="E32" s="1" t="n">
        <v>46311</v>
      </c>
      <c r="F32" t="inlineStr">
        <is>
          <t>KRONOBERGS LÄN</t>
        </is>
      </c>
      <c r="G32" t="inlineStr">
        <is>
          <t>LJUNGBY</t>
        </is>
      </c>
      <c r="I32" t="n">
        <v>7.8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2</v>
      </c>
      <c r="T32" t="n">
        <v>2</v>
      </c>
      <c r="U32" t="n">
        <v>1</v>
      </c>
      <c r="V32" s="2" t="inlineStr">
        <is>
          <t>Sjötåtel
Drillsnäppa</t>
        </is>
      </c>
      <c r="W32">
        <f>HYPERLINK("https://klasma.github.io/Logging_0781/artfynd/A 67665-2021 artfynd.xlsx", "A 67665-2021")</f>
        <v/>
      </c>
      <c r="X32">
        <f>HYPERLINK("https://klasma.github.io/Logging_0781/kartor/A 67665-2021 karta.png", "A 67665-2021")</f>
        <v/>
      </c>
      <c r="Y32">
        <f>HYPERLINK("https://klasma.github.io/Logging_0781/kartor_geotiff/A 67665-2021 georefererad karta.tif", "A 67665-2021")</f>
        <v/>
      </c>
      <c r="AA32">
        <f>HYPERLINK("https://klasma.github.io/Logging_0781/klagomål/A 67665-2021 FSC-klagomål.docx", "A 67665-2021")</f>
        <v/>
      </c>
      <c r="AB32">
        <f>HYPERLINK("https://klasma.github.io/Logging_0781/klagomålsmail/A 67665-2021 FSC-klagomål mail.docx", "A 67665-2021")</f>
        <v/>
      </c>
      <c r="AC32">
        <f>HYPERLINK("https://klasma.github.io/Logging_0781/tillsyn/A 67665-2021 tillsynsbegäran.docx", "A 67665-2021")</f>
        <v/>
      </c>
      <c r="AD32">
        <f>HYPERLINK("https://klasma.github.io/Logging_0781/tillsynsmail/A 67665-2021 tillsynsbegäran mail.docx", "A 67665-2021")</f>
        <v/>
      </c>
      <c r="AE32">
        <f>HYPERLINK("https://klasma.github.io/Logging_0781/fåglar/A 67665-2021 prioriterade fågelarter.docx", "A 67665-2021")</f>
        <v/>
      </c>
    </row>
    <row r="33" ht="15" customHeight="1">
      <c r="A33" t="inlineStr">
        <is>
          <t>A 49747-2023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45212</v>
      </c>
      <c r="E33" s="1" t="n">
        <v>46311</v>
      </c>
      <c r="F33" t="inlineStr">
        <is>
          <t>KRONOBERGS LÄN</t>
        </is>
      </c>
      <c r="G33" t="inlineStr">
        <is>
          <t>LJUNGBY</t>
        </is>
      </c>
      <c r="I33" t="n">
        <v>6.7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2</v>
      </c>
      <c r="S33" t="n">
        <v>2</v>
      </c>
      <c r="T33" t="n">
        <v>2</v>
      </c>
      <c r="U33" t="n">
        <v>0</v>
      </c>
      <c r="V33" s="2" t="inlineStr">
        <is>
          <t>Klockgentiana
Sjötåtel</t>
        </is>
      </c>
      <c r="W33">
        <f>HYPERLINK("https://klasma.github.io/Logging_0781/artfynd/A 49747-2023 artfynd.xlsx", "A 49747-2023")</f>
        <v/>
      </c>
      <c r="X33">
        <f>HYPERLINK("https://klasma.github.io/Logging_0781/kartor/A 49747-2023 karta.png", "A 49747-2023")</f>
        <v/>
      </c>
      <c r="Y33">
        <f>HYPERLINK("https://klasma.github.io/Logging_0781/kartor_geotiff/A 49747-2023 georefererad karta.tif", "A 49747-2023")</f>
        <v/>
      </c>
      <c r="AA33">
        <f>HYPERLINK("https://klasma.github.io/Logging_0781/klagomål/A 49747-2023 FSC-klagomål.docx", "A 49747-2023")</f>
        <v/>
      </c>
      <c r="AB33">
        <f>HYPERLINK("https://klasma.github.io/Logging_0781/klagomålsmail/A 49747-2023 FSC-klagomål mail.docx", "A 49747-2023")</f>
        <v/>
      </c>
      <c r="AC33">
        <f>HYPERLINK("https://klasma.github.io/Logging_0781/tillsyn/A 49747-2023 tillsynsbegäran.docx", "A 49747-2023")</f>
        <v/>
      </c>
      <c r="AD33">
        <f>HYPERLINK("https://klasma.github.io/Logging_0781/tillsynsmail/A 49747-2023 tillsynsbegäran mail.docx", "A 49747-2023")</f>
        <v/>
      </c>
    </row>
    <row r="34" ht="15" customHeight="1">
      <c r="A34" t="inlineStr">
        <is>
          <t>A 30359-2023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45111</v>
      </c>
      <c r="E34" s="1" t="n">
        <v>46311</v>
      </c>
      <c r="F34" t="inlineStr">
        <is>
          <t>KRONOBERGS LÄN</t>
        </is>
      </c>
      <c r="G34" t="inlineStr">
        <is>
          <t>LJUNGBY</t>
        </is>
      </c>
      <c r="I34" t="n">
        <v>2.1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Brunpudrad nållav
Röd glada</t>
        </is>
      </c>
      <c r="W34">
        <f>HYPERLINK("https://klasma.github.io/Logging_0781/artfynd/A 30359-2023 artfynd.xlsx", "A 30359-2023")</f>
        <v/>
      </c>
      <c r="X34">
        <f>HYPERLINK("https://klasma.github.io/Logging_0781/kartor/A 30359-2023 karta.png", "A 30359-2023")</f>
        <v/>
      </c>
      <c r="Y34">
        <f>HYPERLINK("https://klasma.github.io/Logging_0781/kartor_geotiff/A 30359-2023 georefererad karta.tif", "A 30359-2023")</f>
        <v/>
      </c>
      <c r="AA34">
        <f>HYPERLINK("https://klasma.github.io/Logging_0781/klagomål/A 30359-2023 FSC-klagomål.docx", "A 30359-2023")</f>
        <v/>
      </c>
      <c r="AB34">
        <f>HYPERLINK("https://klasma.github.io/Logging_0781/klagomålsmail/A 30359-2023 FSC-klagomål mail.docx", "A 30359-2023")</f>
        <v/>
      </c>
      <c r="AC34">
        <f>HYPERLINK("https://klasma.github.io/Logging_0781/tillsyn/A 30359-2023 tillsynsbegäran.docx", "A 30359-2023")</f>
        <v/>
      </c>
      <c r="AD34">
        <f>HYPERLINK("https://klasma.github.io/Logging_0781/tillsynsmail/A 30359-2023 tillsynsbegäran mail.docx", "A 30359-2023")</f>
        <v/>
      </c>
      <c r="AE34">
        <f>HYPERLINK("https://klasma.github.io/Logging_0781/fåglar/A 30359-2023 prioriterade fågelarter.docx", "A 30359-2023")</f>
        <v/>
      </c>
    </row>
    <row r="35" ht="15" customHeight="1">
      <c r="A35" t="inlineStr">
        <is>
          <t>A 24031-2023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45078</v>
      </c>
      <c r="E35" s="1" t="n">
        <v>46311</v>
      </c>
      <c r="F35" t="inlineStr">
        <is>
          <t>KRONOBERGS LÄN</t>
        </is>
      </c>
      <c r="G35" t="inlineStr">
        <is>
          <t>LJUNGBY</t>
        </is>
      </c>
      <c r="I35" t="n">
        <v>3.3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3</v>
      </c>
      <c r="U35" t="n">
        <v>0</v>
      </c>
      <c r="V35" s="2" t="inlineStr">
        <is>
          <t>Fällmossa
Klippfrullania</t>
        </is>
      </c>
      <c r="W35">
        <f>HYPERLINK("https://klasma.github.io/Logging_0781/artfynd/A 24031-2023 artfynd.xlsx", "A 24031-2023")</f>
        <v/>
      </c>
      <c r="X35">
        <f>HYPERLINK("https://klasma.github.io/Logging_0781/kartor/A 24031-2023 karta.png", "A 24031-2023")</f>
        <v/>
      </c>
      <c r="Y35">
        <f>HYPERLINK("https://klasma.github.io/Logging_0781/kartor_geotiff/A 24031-2023 georefererad karta.tif", "A 24031-2023")</f>
        <v/>
      </c>
      <c r="AA35">
        <f>HYPERLINK("https://klasma.github.io/Logging_0781/klagomål/A 24031-2023 FSC-klagomål.docx", "A 24031-2023")</f>
        <v/>
      </c>
      <c r="AB35">
        <f>HYPERLINK("https://klasma.github.io/Logging_0781/klagomålsmail/A 24031-2023 FSC-klagomål mail.docx", "A 24031-2023")</f>
        <v/>
      </c>
      <c r="AC35">
        <f>HYPERLINK("https://klasma.github.io/Logging_0781/tillsyn/A 24031-2023 tillsynsbegäran.docx", "A 24031-2023")</f>
        <v/>
      </c>
      <c r="AD35">
        <f>HYPERLINK("https://klasma.github.io/Logging_0781/tillsynsmail/A 24031-2023 tillsynsbegäran mail.docx", "A 24031-2023")</f>
        <v/>
      </c>
    </row>
    <row r="36" ht="15" customHeight="1">
      <c r="A36" t="inlineStr">
        <is>
          <t>A 25295-2023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45086</v>
      </c>
      <c r="E36" s="1" t="n">
        <v>46311</v>
      </c>
      <c r="F36" t="inlineStr">
        <is>
          <t>KRONOBERGS LÄN</t>
        </is>
      </c>
      <c r="G36" t="inlineStr">
        <is>
          <t>LJUNGBY</t>
        </is>
      </c>
      <c r="I36" t="n">
        <v>1.3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3</v>
      </c>
      <c r="U36" t="n">
        <v>0</v>
      </c>
      <c r="V36" s="2" t="inlineStr">
        <is>
          <t>Grönpyrola
Mattlummer</t>
        </is>
      </c>
      <c r="W36">
        <f>HYPERLINK("https://klasma.github.io/Logging_0781/artfynd/A 25295-2023 artfynd.xlsx", "A 25295-2023")</f>
        <v/>
      </c>
      <c r="X36">
        <f>HYPERLINK("https://klasma.github.io/Logging_0781/kartor/A 25295-2023 karta.png", "A 25295-2023")</f>
        <v/>
      </c>
      <c r="Y36">
        <f>HYPERLINK("https://klasma.github.io/Logging_0781/kartor_geotiff/A 25295-2023 georefererad karta.tif", "A 25295-2023")</f>
        <v/>
      </c>
      <c r="AA36">
        <f>HYPERLINK("https://klasma.github.io/Logging_0781/klagomål/A 25295-2023 FSC-klagomål.docx", "A 25295-2023")</f>
        <v/>
      </c>
      <c r="AB36">
        <f>HYPERLINK("https://klasma.github.io/Logging_0781/klagomålsmail/A 25295-2023 FSC-klagomål mail.docx", "A 25295-2023")</f>
        <v/>
      </c>
      <c r="AC36">
        <f>HYPERLINK("https://klasma.github.io/Logging_0781/tillsyn/A 25295-2023 tillsynsbegäran.docx", "A 25295-2023")</f>
        <v/>
      </c>
      <c r="AD36">
        <f>HYPERLINK("https://klasma.github.io/Logging_0781/tillsynsmail/A 25295-2023 tillsynsbegäran mail.docx", "A 25295-2023")</f>
        <v/>
      </c>
    </row>
    <row r="37" ht="15" customHeight="1">
      <c r="A37" t="inlineStr">
        <is>
          <t>A 54956-2023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45236</v>
      </c>
      <c r="E37" s="1" t="n">
        <v>46311</v>
      </c>
      <c r="F37" t="inlineStr">
        <is>
          <t>KRONOBERGS LÄN</t>
        </is>
      </c>
      <c r="G37" t="inlineStr">
        <is>
          <t>LJUNGBY</t>
        </is>
      </c>
      <c r="I37" t="n">
        <v>19.8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</v>
      </c>
      <c r="T37" t="n">
        <v>2</v>
      </c>
      <c r="U37" t="n">
        <v>0</v>
      </c>
      <c r="V37" s="2" t="inlineStr">
        <is>
          <t>Slåttergubbe
Talltita</t>
        </is>
      </c>
      <c r="W37">
        <f>HYPERLINK("https://klasma.github.io/Logging_0781/artfynd/A 54956-2023 artfynd.xlsx", "A 54956-2023")</f>
        <v/>
      </c>
      <c r="X37">
        <f>HYPERLINK("https://klasma.github.io/Logging_0781/kartor/A 54956-2023 karta.png", "A 54956-2023")</f>
        <v/>
      </c>
      <c r="Y37">
        <f>HYPERLINK("https://klasma.github.io/Logging_0781/kartor_geotiff/A 54956-2023 georefererad karta.tif", "A 54956-2023")</f>
        <v/>
      </c>
      <c r="AA37">
        <f>HYPERLINK("https://klasma.github.io/Logging_0781/klagomål/A 54956-2023 FSC-klagomål.docx", "A 54956-2023")</f>
        <v/>
      </c>
      <c r="AB37">
        <f>HYPERLINK("https://klasma.github.io/Logging_0781/klagomålsmail/A 54956-2023 FSC-klagomål mail.docx", "A 54956-2023")</f>
        <v/>
      </c>
      <c r="AC37">
        <f>HYPERLINK("https://klasma.github.io/Logging_0781/tillsyn/A 54956-2023 tillsynsbegäran.docx", "A 54956-2023")</f>
        <v/>
      </c>
      <c r="AD37">
        <f>HYPERLINK("https://klasma.github.io/Logging_0781/tillsynsmail/A 54956-2023 tillsynsbegäran mail.docx", "A 54956-2023")</f>
        <v/>
      </c>
      <c r="AE37">
        <f>HYPERLINK("https://klasma.github.io/Logging_0781/fåglar/A 54956-2023 prioriterade fågelarter.docx", "A 54956-2023")</f>
        <v/>
      </c>
    </row>
    <row r="38" ht="15" customHeight="1">
      <c r="A38" t="inlineStr">
        <is>
          <t>A 33079-2023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45126</v>
      </c>
      <c r="E38" s="1" t="n">
        <v>46311</v>
      </c>
      <c r="F38" t="inlineStr">
        <is>
          <t>KRONOBERGS LÄN</t>
        </is>
      </c>
      <c r="G38" t="inlineStr">
        <is>
          <t>LJUNGBY</t>
        </is>
      </c>
      <c r="I38" t="n">
        <v>2.4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1</v>
      </c>
      <c r="V38" s="2" t="inlineStr">
        <is>
          <t>Gulsparv
Kungsfågel</t>
        </is>
      </c>
      <c r="W38">
        <f>HYPERLINK("https://klasma.github.io/Logging_0781/artfynd/A 33079-2023 artfynd.xlsx", "A 33079-2023")</f>
        <v/>
      </c>
      <c r="X38">
        <f>HYPERLINK("https://klasma.github.io/Logging_0781/kartor/A 33079-2023 karta.png", "A 33079-2023")</f>
        <v/>
      </c>
      <c r="Y38">
        <f>HYPERLINK("https://klasma.github.io/Logging_0781/kartor_geotiff/A 33079-2023 georefererad karta.tif", "A 33079-2023")</f>
        <v/>
      </c>
      <c r="AA38">
        <f>HYPERLINK("https://klasma.github.io/Logging_0781/klagomål/A 33079-2023 FSC-klagomål.docx", "A 33079-2023")</f>
        <v/>
      </c>
      <c r="AB38">
        <f>HYPERLINK("https://klasma.github.io/Logging_0781/klagomålsmail/A 33079-2023 FSC-klagomål mail.docx", "A 33079-2023")</f>
        <v/>
      </c>
      <c r="AC38">
        <f>HYPERLINK("https://klasma.github.io/Logging_0781/tillsyn/A 33079-2023 tillsynsbegäran.docx", "A 33079-2023")</f>
        <v/>
      </c>
      <c r="AD38">
        <f>HYPERLINK("https://klasma.github.io/Logging_0781/tillsynsmail/A 33079-2023 tillsynsbegäran mail.docx", "A 33079-2023")</f>
        <v/>
      </c>
      <c r="AE38">
        <f>HYPERLINK("https://klasma.github.io/Logging_0781/fåglar/A 33079-2023 prioriterade fågelarter.docx", "A 33079-2023")</f>
        <v/>
      </c>
    </row>
    <row r="39" ht="15" customHeight="1">
      <c r="A39" t="inlineStr">
        <is>
          <t>A 28560-2025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45819</v>
      </c>
      <c r="E39" s="1" t="n">
        <v>46311</v>
      </c>
      <c r="F39" t="inlineStr">
        <is>
          <t>KRONOBERGS LÄN</t>
        </is>
      </c>
      <c r="G39" t="inlineStr">
        <is>
          <t>LJUNGBY</t>
        </is>
      </c>
      <c r="I39" t="n">
        <v>0.9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2</v>
      </c>
      <c r="V39" s="2" t="inlineStr">
        <is>
          <t>Jungfrulin
Svinrot</t>
        </is>
      </c>
      <c r="W39">
        <f>HYPERLINK("https://klasma.github.io/Logging_0781/artfynd/A 28560-2025 artfynd.xlsx", "A 28560-2025")</f>
        <v/>
      </c>
      <c r="X39">
        <f>HYPERLINK("https://klasma.github.io/Logging_0781/kartor/A 28560-2025 karta.png", "A 28560-2025")</f>
        <v/>
      </c>
      <c r="Y39">
        <f>HYPERLINK("https://klasma.github.io/Logging_0781/kartor_geotiff/A 28560-2025 georefererad karta.tif", "A 28560-2025")</f>
        <v/>
      </c>
      <c r="AA39">
        <f>HYPERLINK("https://klasma.github.io/Logging_0781/klagomål/A 28560-2025 FSC-klagomål.docx", "A 28560-2025")</f>
        <v/>
      </c>
      <c r="AB39">
        <f>HYPERLINK("https://klasma.github.io/Logging_0781/klagomålsmail/A 28560-2025 FSC-klagomål mail.docx", "A 28560-2025")</f>
        <v/>
      </c>
      <c r="AC39">
        <f>HYPERLINK("https://klasma.github.io/Logging_0781/tillsyn/A 28560-2025 tillsynsbegäran.docx", "A 28560-2025")</f>
        <v/>
      </c>
      <c r="AD39">
        <f>HYPERLINK("https://klasma.github.io/Logging_0781/tillsynsmail/A 28560-2025 tillsynsbegäran mail.docx", "A 28560-2025")</f>
        <v/>
      </c>
    </row>
    <row r="40" ht="15" customHeight="1">
      <c r="A40" t="inlineStr">
        <is>
          <t>A 12841-2025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45733</v>
      </c>
      <c r="E40" s="1" t="n">
        <v>46311</v>
      </c>
      <c r="F40" t="inlineStr">
        <is>
          <t>KRONOBERGS LÄN</t>
        </is>
      </c>
      <c r="G40" t="inlineStr">
        <is>
          <t>LJUNGBY</t>
        </is>
      </c>
      <c r="I40" t="n">
        <v>5.2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Brunlångöra
Nordfladdermus</t>
        </is>
      </c>
      <c r="W40">
        <f>HYPERLINK("https://klasma.github.io/Logging_0781/artfynd/A 12841-2025 artfynd.xlsx", "A 12841-2025")</f>
        <v/>
      </c>
      <c r="X40">
        <f>HYPERLINK("https://klasma.github.io/Logging_0781/kartor/A 12841-2025 karta.png", "A 12841-2025")</f>
        <v/>
      </c>
      <c r="Y40">
        <f>HYPERLINK("https://klasma.github.io/Logging_0781/kartor_geotiff/A 12841-2025 georefererad karta.tif", "A 12841-2025")</f>
        <v/>
      </c>
      <c r="AA40">
        <f>HYPERLINK("https://klasma.github.io/Logging_0781/klagomål/A 12841-2025 FSC-klagomål.docx", "A 12841-2025")</f>
        <v/>
      </c>
      <c r="AB40">
        <f>HYPERLINK("https://klasma.github.io/Logging_0781/klagomålsmail/A 12841-2025 FSC-klagomål mail.docx", "A 12841-2025")</f>
        <v/>
      </c>
      <c r="AC40">
        <f>HYPERLINK("https://klasma.github.io/Logging_0781/tillsyn/A 12841-2025 tillsynsbegäran.docx", "A 12841-2025")</f>
        <v/>
      </c>
      <c r="AD40">
        <f>HYPERLINK("https://klasma.github.io/Logging_0781/tillsynsmail/A 12841-2025 tillsynsbegäran mail.docx", "A 12841-2025")</f>
        <v/>
      </c>
    </row>
    <row r="41" ht="15" customHeight="1">
      <c r="A41" t="inlineStr">
        <is>
          <t>A 28041-2024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45476</v>
      </c>
      <c r="E41" s="1" t="n">
        <v>46311</v>
      </c>
      <c r="F41" t="inlineStr">
        <is>
          <t>KRONOBERGS LÄN</t>
        </is>
      </c>
      <c r="G41" t="inlineStr">
        <is>
          <t>LJUNGBY</t>
        </is>
      </c>
      <c r="I41" t="n">
        <v>0.8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3</v>
      </c>
      <c r="U41" t="n">
        <v>1</v>
      </c>
      <c r="V41" s="2" t="inlineStr">
        <is>
          <t>Brunag
Mattlummer</t>
        </is>
      </c>
      <c r="W41">
        <f>HYPERLINK("https://klasma.github.io/Logging_0781/artfynd/A 28041-2024 artfynd.xlsx", "A 28041-2024")</f>
        <v/>
      </c>
      <c r="X41">
        <f>HYPERLINK("https://klasma.github.io/Logging_0781/kartor/A 28041-2024 karta.png", "A 28041-2024")</f>
        <v/>
      </c>
      <c r="Y41">
        <f>HYPERLINK("https://klasma.github.io/Logging_0781/kartor_geotiff/A 28041-2024 georefererad karta.tif", "A 28041-2024")</f>
        <v/>
      </c>
      <c r="AA41">
        <f>HYPERLINK("https://klasma.github.io/Logging_0781/klagomål/A 28041-2024 FSC-klagomål.docx", "A 28041-2024")</f>
        <v/>
      </c>
      <c r="AB41">
        <f>HYPERLINK("https://klasma.github.io/Logging_0781/klagomålsmail/A 28041-2024 FSC-klagomål mail.docx", "A 28041-2024")</f>
        <v/>
      </c>
      <c r="AC41">
        <f>HYPERLINK("https://klasma.github.io/Logging_0781/tillsyn/A 28041-2024 tillsynsbegäran.docx", "A 28041-2024")</f>
        <v/>
      </c>
      <c r="AD41">
        <f>HYPERLINK("https://klasma.github.io/Logging_0781/tillsynsmail/A 28041-2024 tillsynsbegäran mail.docx", "A 28041-2024")</f>
        <v/>
      </c>
    </row>
    <row r="42" ht="15" customHeight="1">
      <c r="A42" t="inlineStr">
        <is>
          <t>A 9027-2024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45357</v>
      </c>
      <c r="E42" s="1" t="n">
        <v>46311</v>
      </c>
      <c r="F42" t="inlineStr">
        <is>
          <t>KRONOBERGS LÄN</t>
        </is>
      </c>
      <c r="G42" t="inlineStr">
        <is>
          <t>LJUNGBY</t>
        </is>
      </c>
      <c r="I42" t="n">
        <v>0.4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2</v>
      </c>
      <c r="R42" t="n">
        <v>1</v>
      </c>
      <c r="S42" t="n">
        <v>2</v>
      </c>
      <c r="T42" t="n">
        <v>4</v>
      </c>
      <c r="U42" t="n">
        <v>0</v>
      </c>
      <c r="V42" s="2" t="inlineStr">
        <is>
          <t>Klockgentiana
Granspira</t>
        </is>
      </c>
      <c r="W42">
        <f>HYPERLINK("https://klasma.github.io/Logging_0781/artfynd/A 9027-2024 artfynd.xlsx", "A 9027-2024")</f>
        <v/>
      </c>
      <c r="X42">
        <f>HYPERLINK("https://klasma.github.io/Logging_0781/kartor/A 9027-2024 karta.png", "A 9027-2024")</f>
        <v/>
      </c>
      <c r="Y42">
        <f>HYPERLINK("https://klasma.github.io/Logging_0781/kartor_geotiff/A 9027-2024 georefererad karta.tif", "A 9027-2024")</f>
        <v/>
      </c>
      <c r="AA42">
        <f>HYPERLINK("https://klasma.github.io/Logging_0781/klagomål/A 9027-2024 FSC-klagomål.docx", "A 9027-2024")</f>
        <v/>
      </c>
      <c r="AB42">
        <f>HYPERLINK("https://klasma.github.io/Logging_0781/klagomålsmail/A 9027-2024 FSC-klagomål mail.docx", "A 9027-2024")</f>
        <v/>
      </c>
      <c r="AC42">
        <f>HYPERLINK("https://klasma.github.io/Logging_0781/tillsyn/A 9027-2024 tillsynsbegäran.docx", "A 9027-2024")</f>
        <v/>
      </c>
      <c r="AD42">
        <f>HYPERLINK("https://klasma.github.io/Logging_0781/tillsynsmail/A 9027-2024 tillsynsbegäran mail.docx", "A 9027-2024")</f>
        <v/>
      </c>
    </row>
    <row r="43" ht="15" customHeight="1">
      <c r="A43" t="inlineStr">
        <is>
          <t>A 8314-2022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44610</v>
      </c>
      <c r="E43" s="1" t="n">
        <v>46311</v>
      </c>
      <c r="F43" t="inlineStr">
        <is>
          <t>KRONOBERGS LÄN</t>
        </is>
      </c>
      <c r="G43" t="inlineStr">
        <is>
          <t>LJUNGBY</t>
        </is>
      </c>
      <c r="H43" t="inlineStr">
        <is>
          <t>Kommuner</t>
        </is>
      </c>
      <c r="I43" t="n">
        <v>5.5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4</v>
      </c>
      <c r="U43" t="n">
        <v>0</v>
      </c>
      <c r="V43" s="2" t="inlineStr">
        <is>
          <t>Fällmossa
Klippfrullania</t>
        </is>
      </c>
      <c r="W43">
        <f>HYPERLINK("https://klasma.github.io/Logging_0781/artfynd/A 8314-2022 artfynd.xlsx", "A 8314-2022")</f>
        <v/>
      </c>
      <c r="X43">
        <f>HYPERLINK("https://klasma.github.io/Logging_0781/kartor/A 8314-2022 karta.png", "A 8314-2022")</f>
        <v/>
      </c>
      <c r="Y43">
        <f>HYPERLINK("https://klasma.github.io/Logging_0781/kartor_geotiff/A 8314-2022 georefererad karta.tif", "A 8314-2022")</f>
        <v/>
      </c>
      <c r="AA43">
        <f>HYPERLINK("https://klasma.github.io/Logging_0781/klagomål/A 8314-2022 FSC-klagomål.docx", "A 8314-2022")</f>
        <v/>
      </c>
      <c r="AB43">
        <f>HYPERLINK("https://klasma.github.io/Logging_0781/klagomålsmail/A 8314-2022 FSC-klagomål mail.docx", "A 8314-2022")</f>
        <v/>
      </c>
      <c r="AC43">
        <f>HYPERLINK("https://klasma.github.io/Logging_0781/tillsyn/A 8314-2022 tillsynsbegäran.docx", "A 8314-2022")</f>
        <v/>
      </c>
      <c r="AD43">
        <f>HYPERLINK("https://klasma.github.io/Logging_0781/tillsynsmail/A 8314-2022 tillsynsbegäran mail.docx", "A 8314-2022")</f>
        <v/>
      </c>
    </row>
    <row r="44" ht="15" customHeight="1">
      <c r="A44" t="inlineStr">
        <is>
          <t>A 60139-2024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45642</v>
      </c>
      <c r="E44" s="1" t="n">
        <v>46311</v>
      </c>
      <c r="F44" t="inlineStr">
        <is>
          <t>KRONOBERGS LÄN</t>
        </is>
      </c>
      <c r="G44" t="inlineStr">
        <is>
          <t>LJUNGBY</t>
        </is>
      </c>
      <c r="I44" t="n">
        <v>0.7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2</v>
      </c>
      <c r="T44" t="n">
        <v>4</v>
      </c>
      <c r="U44" t="n">
        <v>0</v>
      </c>
      <c r="V44" s="2" t="inlineStr">
        <is>
          <t>Skogsalm
Blåsippa</t>
        </is>
      </c>
      <c r="W44">
        <f>HYPERLINK("https://klasma.github.io/Logging_0781/artfynd/A 60139-2024 artfynd.xlsx", "A 60139-2024")</f>
        <v/>
      </c>
      <c r="X44">
        <f>HYPERLINK("https://klasma.github.io/Logging_0781/kartor/A 60139-2024 karta.png", "A 60139-2024")</f>
        <v/>
      </c>
      <c r="Y44">
        <f>HYPERLINK("https://klasma.github.io/Logging_0781/kartor_geotiff/A 60139-2024 georefererad karta.tif", "A 60139-2024")</f>
        <v/>
      </c>
      <c r="AA44">
        <f>HYPERLINK("https://klasma.github.io/Logging_0781/klagomål/A 60139-2024 FSC-klagomål.docx", "A 60139-2024")</f>
        <v/>
      </c>
      <c r="AB44">
        <f>HYPERLINK("https://klasma.github.io/Logging_0781/klagomålsmail/A 60139-2024 FSC-klagomål mail.docx", "A 60139-2024")</f>
        <v/>
      </c>
      <c r="AC44">
        <f>HYPERLINK("https://klasma.github.io/Logging_0781/tillsyn/A 60139-2024 tillsynsbegäran.docx", "A 60139-2024")</f>
        <v/>
      </c>
      <c r="AD44">
        <f>HYPERLINK("https://klasma.github.io/Logging_0781/tillsynsmail/A 60139-2024 tillsynsbegäran mail.docx", "A 60139-2024")</f>
        <v/>
      </c>
    </row>
    <row r="45" ht="15" customHeight="1">
      <c r="A45" t="inlineStr">
        <is>
          <t>A 28673-2023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45103</v>
      </c>
      <c r="E45" s="1" t="n">
        <v>46311</v>
      </c>
      <c r="F45" t="inlineStr">
        <is>
          <t>KRONOBERGS LÄN</t>
        </is>
      </c>
      <c r="G45" t="inlineStr">
        <is>
          <t>LJUNGBY</t>
        </is>
      </c>
      <c r="I45" t="n">
        <v>3.1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4</v>
      </c>
      <c r="U45" t="n">
        <v>0</v>
      </c>
      <c r="V45" s="2" t="inlineStr">
        <is>
          <t>Gullpudra
Vanlig groda</t>
        </is>
      </c>
      <c r="W45">
        <f>HYPERLINK("https://klasma.github.io/Logging_0781/artfynd/A 28673-2023 artfynd.xlsx", "A 28673-2023")</f>
        <v/>
      </c>
      <c r="X45">
        <f>HYPERLINK("https://klasma.github.io/Logging_0781/kartor/A 28673-2023 karta.png", "A 28673-2023")</f>
        <v/>
      </c>
      <c r="Y45">
        <f>HYPERLINK("https://klasma.github.io/Logging_0781/kartor_geotiff/A 28673-2023 georefererad karta.tif", "A 28673-2023")</f>
        <v/>
      </c>
      <c r="AA45">
        <f>HYPERLINK("https://klasma.github.io/Logging_0781/klagomål/A 28673-2023 FSC-klagomål.docx", "A 28673-2023")</f>
        <v/>
      </c>
      <c r="AB45">
        <f>HYPERLINK("https://klasma.github.io/Logging_0781/klagomålsmail/A 28673-2023 FSC-klagomål mail.docx", "A 28673-2023")</f>
        <v/>
      </c>
      <c r="AC45">
        <f>HYPERLINK("https://klasma.github.io/Logging_0781/tillsyn/A 28673-2023 tillsynsbegäran.docx", "A 28673-2023")</f>
        <v/>
      </c>
      <c r="AD45">
        <f>HYPERLINK("https://klasma.github.io/Logging_0781/tillsynsmail/A 28673-2023 tillsynsbegäran mail.docx", "A 28673-2023")</f>
        <v/>
      </c>
    </row>
    <row r="46" ht="15" customHeight="1">
      <c r="A46" t="inlineStr">
        <is>
          <t>A 24024-2023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45078</v>
      </c>
      <c r="E46" s="1" t="n">
        <v>46311</v>
      </c>
      <c r="F46" t="inlineStr">
        <is>
          <t>KRONOBERGS LÄN</t>
        </is>
      </c>
      <c r="G46" t="inlineStr">
        <is>
          <t>LJUNGBY</t>
        </is>
      </c>
      <c r="I46" t="n">
        <v>3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4</v>
      </c>
      <c r="U46" t="n">
        <v>0</v>
      </c>
      <c r="V46" s="2" t="inlineStr">
        <is>
          <t>Fällmossa
Klippfrullania</t>
        </is>
      </c>
      <c r="W46">
        <f>HYPERLINK("https://klasma.github.io/Logging_0781/artfynd/A 24024-2023 artfynd.xlsx", "A 24024-2023")</f>
        <v/>
      </c>
      <c r="X46">
        <f>HYPERLINK("https://klasma.github.io/Logging_0781/kartor/A 24024-2023 karta.png", "A 24024-2023")</f>
        <v/>
      </c>
      <c r="Y46">
        <f>HYPERLINK("https://klasma.github.io/Logging_0781/kartor_geotiff/A 24024-2023 georefererad karta.tif", "A 24024-2023")</f>
        <v/>
      </c>
      <c r="AA46">
        <f>HYPERLINK("https://klasma.github.io/Logging_0781/klagomål/A 24024-2023 FSC-klagomål.docx", "A 24024-2023")</f>
        <v/>
      </c>
      <c r="AB46">
        <f>HYPERLINK("https://klasma.github.io/Logging_0781/klagomålsmail/A 24024-2023 FSC-klagomål mail.docx", "A 24024-2023")</f>
        <v/>
      </c>
      <c r="AC46">
        <f>HYPERLINK("https://klasma.github.io/Logging_0781/tillsyn/A 24024-2023 tillsynsbegäran.docx", "A 24024-2023")</f>
        <v/>
      </c>
      <c r="AD46">
        <f>HYPERLINK("https://klasma.github.io/Logging_0781/tillsynsmail/A 24024-2023 tillsynsbegäran mail.docx", "A 24024-2023")</f>
        <v/>
      </c>
    </row>
    <row r="47" ht="15" customHeight="1">
      <c r="A47" t="inlineStr">
        <is>
          <t>A 36305-2023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45152</v>
      </c>
      <c r="E47" s="1" t="n">
        <v>46311</v>
      </c>
      <c r="F47" t="inlineStr">
        <is>
          <t>KRONOBERGS LÄN</t>
        </is>
      </c>
      <c r="G47" t="inlineStr">
        <is>
          <t>LJUNGBY</t>
        </is>
      </c>
      <c r="I47" t="n">
        <v>5.1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2</v>
      </c>
      <c r="V47" s="2" t="inlineStr">
        <is>
          <t>Björksplintborre
Blåmossa</t>
        </is>
      </c>
      <c r="W47">
        <f>HYPERLINK("https://klasma.github.io/Logging_0781/artfynd/A 36305-2023 artfynd.xlsx", "A 36305-2023")</f>
        <v/>
      </c>
      <c r="X47">
        <f>HYPERLINK("https://klasma.github.io/Logging_0781/kartor/A 36305-2023 karta.png", "A 36305-2023")</f>
        <v/>
      </c>
      <c r="Y47">
        <f>HYPERLINK("https://klasma.github.io/Logging_0781/kartor_geotiff/A 36305-2023 georefererad karta.tif", "A 36305-2023")</f>
        <v/>
      </c>
      <c r="AA47">
        <f>HYPERLINK("https://klasma.github.io/Logging_0781/klagomål/A 36305-2023 FSC-klagomål.docx", "A 36305-2023")</f>
        <v/>
      </c>
      <c r="AB47">
        <f>HYPERLINK("https://klasma.github.io/Logging_0781/klagomålsmail/A 36305-2023 FSC-klagomål mail.docx", "A 36305-2023")</f>
        <v/>
      </c>
      <c r="AC47">
        <f>HYPERLINK("https://klasma.github.io/Logging_0781/tillsyn/A 36305-2023 tillsynsbegäran.docx", "A 36305-2023")</f>
        <v/>
      </c>
      <c r="AD47">
        <f>HYPERLINK("https://klasma.github.io/Logging_0781/tillsynsmail/A 36305-2023 tillsynsbegäran mail.docx", "A 36305-2023")</f>
        <v/>
      </c>
    </row>
    <row r="48" ht="15" customHeight="1">
      <c r="A48" t="inlineStr">
        <is>
          <t>A 45510-2023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45194</v>
      </c>
      <c r="E48" s="1" t="n">
        <v>46311</v>
      </c>
      <c r="F48" t="inlineStr">
        <is>
          <t>KRONOBERGS LÄN</t>
        </is>
      </c>
      <c r="G48" t="inlineStr">
        <is>
          <t>LJUNGBY</t>
        </is>
      </c>
      <c r="I48" t="n">
        <v>1.9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3</v>
      </c>
      <c r="U48" t="n">
        <v>0</v>
      </c>
      <c r="V48" s="2" t="inlineStr">
        <is>
          <t>Fällmossa
Klippfrullania</t>
        </is>
      </c>
      <c r="W48">
        <f>HYPERLINK("https://klasma.github.io/Logging_0781/artfynd/A 45510-2023 artfynd.xlsx", "A 45510-2023")</f>
        <v/>
      </c>
      <c r="X48">
        <f>HYPERLINK("https://klasma.github.io/Logging_0781/kartor/A 45510-2023 karta.png", "A 45510-2023")</f>
        <v/>
      </c>
      <c r="Y48">
        <f>HYPERLINK("https://klasma.github.io/Logging_0781/kartor_geotiff/A 45510-2023 georefererad karta.tif", "A 45510-2023")</f>
        <v/>
      </c>
      <c r="AA48">
        <f>HYPERLINK("https://klasma.github.io/Logging_0781/klagomål/A 45510-2023 FSC-klagomål.docx", "A 45510-2023")</f>
        <v/>
      </c>
      <c r="AB48">
        <f>HYPERLINK("https://klasma.github.io/Logging_0781/klagomålsmail/A 45510-2023 FSC-klagomål mail.docx", "A 45510-2023")</f>
        <v/>
      </c>
      <c r="AC48">
        <f>HYPERLINK("https://klasma.github.io/Logging_0781/tillsyn/A 45510-2023 tillsynsbegäran.docx", "A 45510-2023")</f>
        <v/>
      </c>
      <c r="AD48">
        <f>HYPERLINK("https://klasma.github.io/Logging_0781/tillsynsmail/A 45510-2023 tillsynsbegäran mail.docx", "A 45510-2023")</f>
        <v/>
      </c>
    </row>
    <row r="49" ht="15" customHeight="1">
      <c r="A49" t="inlineStr">
        <is>
          <t>A 21869-2026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46150</v>
      </c>
      <c r="E49" s="1" t="n">
        <v>46311</v>
      </c>
      <c r="F49" t="inlineStr">
        <is>
          <t>KRONOBERGS LÄN</t>
        </is>
      </c>
      <c r="G49" t="inlineStr">
        <is>
          <t>LJUNGBY</t>
        </is>
      </c>
      <c r="I49" t="n">
        <v>3.4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2</v>
      </c>
      <c r="U49" t="n">
        <v>2</v>
      </c>
      <c r="V49" s="2" t="inlineStr">
        <is>
          <t>Svinrot
Ängskovall</t>
        </is>
      </c>
      <c r="W49">
        <f>HYPERLINK("https://klasma.github.io/Logging_0781/artfynd/A 21869-2026 artfynd.xlsx", "A 21869-2026")</f>
        <v/>
      </c>
      <c r="X49">
        <f>HYPERLINK("https://klasma.github.io/Logging_0781/kartor/A 21869-2026 karta.png", "A 21869-2026")</f>
        <v/>
      </c>
      <c r="Y49">
        <f>HYPERLINK("https://klasma.github.io/Logging_0781/kartor_geotiff/A 21869-2026 georefererad karta.tif", "A 21869-2026")</f>
        <v/>
      </c>
      <c r="AA49">
        <f>HYPERLINK("https://klasma.github.io/Logging_0781/klagomål/A 21869-2026 FSC-klagomål.docx", "A 21869-2026")</f>
        <v/>
      </c>
      <c r="AB49">
        <f>HYPERLINK("https://klasma.github.io/Logging_0781/klagomålsmail/A 21869-2026 FSC-klagomål mail.docx", "A 21869-2026")</f>
        <v/>
      </c>
      <c r="AC49">
        <f>HYPERLINK("https://klasma.github.io/Logging_0781/tillsyn/A 21869-2026 tillsynsbegäran.docx", "A 21869-2026")</f>
        <v/>
      </c>
      <c r="AD49">
        <f>HYPERLINK("https://klasma.github.io/Logging_0781/tillsynsmail/A 21869-2026 tillsynsbegäran mail.docx", "A 21869-2026")</f>
        <v/>
      </c>
    </row>
    <row r="50" ht="15" customHeight="1">
      <c r="A50" t="inlineStr">
        <is>
          <t>A 28286-2026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46196</v>
      </c>
      <c r="E50" s="1" t="n">
        <v>46311</v>
      </c>
      <c r="F50" t="inlineStr">
        <is>
          <t>KRONOBERGS LÄN</t>
        </is>
      </c>
      <c r="G50" t="inlineStr">
        <is>
          <t>LJUNGBY</t>
        </is>
      </c>
      <c r="I50" t="n">
        <v>0.5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2</v>
      </c>
      <c r="V50" s="2" t="inlineStr">
        <is>
          <t>Korallrot
Spindelblomster</t>
        </is>
      </c>
      <c r="W50">
        <f>HYPERLINK("https://klasma.github.io/Logging_0781/artfynd/A 28286-2026 artfynd.xlsx", "A 28286-2026")</f>
        <v/>
      </c>
      <c r="X50">
        <f>HYPERLINK("https://klasma.github.io/Logging_0781/kartor/A 28286-2026 karta.png", "A 28286-2026")</f>
        <v/>
      </c>
      <c r="Y50">
        <f>HYPERLINK("https://klasma.github.io/Logging_0781/kartor_geotiff/A 28286-2026 georefererad karta.tif", "A 28286-2026")</f>
        <v/>
      </c>
      <c r="AA50">
        <f>HYPERLINK("https://klasma.github.io/Logging_0781/klagomål/A 28286-2026 FSC-klagomål.docx", "A 28286-2026")</f>
        <v/>
      </c>
      <c r="AB50">
        <f>HYPERLINK("https://klasma.github.io/Logging_0781/klagomålsmail/A 28286-2026 FSC-klagomål mail.docx", "A 28286-2026")</f>
        <v/>
      </c>
      <c r="AC50">
        <f>HYPERLINK("https://klasma.github.io/Logging_0781/tillsyn/A 28286-2026 tillsynsbegäran.docx", "A 28286-2026")</f>
        <v/>
      </c>
      <c r="AD50">
        <f>HYPERLINK("https://klasma.github.io/Logging_0781/tillsynsmail/A 28286-2026 tillsynsbegäran mail.docx", "A 28286-2026")</f>
        <v/>
      </c>
    </row>
    <row r="51" ht="15" customHeight="1">
      <c r="A51" t="inlineStr">
        <is>
          <t>A 28774-2026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46198</v>
      </c>
      <c r="E51" s="1" t="n">
        <v>46311</v>
      </c>
      <c r="F51" t="inlineStr">
        <is>
          <t>KRONOBERGS LÄN</t>
        </is>
      </c>
      <c r="G51" t="inlineStr">
        <is>
          <t>LJUNGBY</t>
        </is>
      </c>
      <c r="I51" t="n">
        <v>4.3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0</v>
      </c>
      <c r="V51" s="2" t="inlineStr">
        <is>
          <t>Skuggmossa
Fläcknycklar</t>
        </is>
      </c>
      <c r="W51">
        <f>HYPERLINK("https://klasma.github.io/Logging_0781/artfynd/A 28774-2026 artfynd.xlsx", "A 28774-2026")</f>
        <v/>
      </c>
      <c r="X51">
        <f>HYPERLINK("https://klasma.github.io/Logging_0781/kartor/A 28774-2026 karta.png", "A 28774-2026")</f>
        <v/>
      </c>
      <c r="Y51">
        <f>HYPERLINK("https://klasma.github.io/Logging_0781/kartor_geotiff/A 28774-2026 georefererad karta.tif", "A 28774-2026")</f>
        <v/>
      </c>
      <c r="AA51">
        <f>HYPERLINK("https://klasma.github.io/Logging_0781/klagomål/A 28774-2026 FSC-klagomål.docx", "A 28774-2026")</f>
        <v/>
      </c>
      <c r="AB51">
        <f>HYPERLINK("https://klasma.github.io/Logging_0781/klagomålsmail/A 28774-2026 FSC-klagomål mail.docx", "A 28774-2026")</f>
        <v/>
      </c>
      <c r="AC51">
        <f>HYPERLINK("https://klasma.github.io/Logging_0781/tillsyn/A 28774-2026 tillsynsbegäran.docx", "A 28774-2026")</f>
        <v/>
      </c>
      <c r="AD51">
        <f>HYPERLINK("https://klasma.github.io/Logging_0781/tillsynsmail/A 28774-2026 tillsynsbegäran mail.docx", "A 28774-2026")</f>
        <v/>
      </c>
    </row>
    <row r="52" ht="15" customHeight="1">
      <c r="A52" t="inlineStr">
        <is>
          <t>A 42783-2023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45181</v>
      </c>
      <c r="E52" s="1" t="n">
        <v>46311</v>
      </c>
      <c r="F52" t="inlineStr">
        <is>
          <t>KRONOBERGS LÄN</t>
        </is>
      </c>
      <c r="G52" t="inlineStr">
        <is>
          <t>LJUNGBY</t>
        </is>
      </c>
      <c r="I52" t="n">
        <v>2.4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2</v>
      </c>
      <c r="T52" t="n">
        <v>2</v>
      </c>
      <c r="U52" t="n">
        <v>0</v>
      </c>
      <c r="V52" s="2" t="inlineStr">
        <is>
          <t>Sjötåtel
Hårklomossa</t>
        </is>
      </c>
      <c r="W52">
        <f>HYPERLINK("https://klasma.github.io/Logging_0781/artfynd/A 42783-2023 artfynd.xlsx", "A 42783-2023")</f>
        <v/>
      </c>
      <c r="X52">
        <f>HYPERLINK("https://klasma.github.io/Logging_0781/kartor/A 42783-2023 karta.png", "A 42783-2023")</f>
        <v/>
      </c>
      <c r="Y52">
        <f>HYPERLINK("https://klasma.github.io/Logging_0781/kartor_geotiff/A 42783-2023 georefererad karta.tif", "A 42783-2023")</f>
        <v/>
      </c>
      <c r="AA52">
        <f>HYPERLINK("https://klasma.github.io/Logging_0781/klagomål/A 42783-2023 FSC-klagomål.docx", "A 42783-2023")</f>
        <v/>
      </c>
      <c r="AB52">
        <f>HYPERLINK("https://klasma.github.io/Logging_0781/klagomålsmail/A 42783-2023 FSC-klagomål mail.docx", "A 42783-2023")</f>
        <v/>
      </c>
      <c r="AC52">
        <f>HYPERLINK("https://klasma.github.io/Logging_0781/tillsyn/A 42783-2023 tillsynsbegäran.docx", "A 42783-2023")</f>
        <v/>
      </c>
      <c r="AD52">
        <f>HYPERLINK("https://klasma.github.io/Logging_0781/tillsynsmail/A 42783-2023 tillsynsbegäran mail.docx", "A 42783-2023")</f>
        <v/>
      </c>
    </row>
    <row r="53" ht="15" customHeight="1">
      <c r="A53" t="inlineStr">
        <is>
          <t>A 56760-2025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45978</v>
      </c>
      <c r="E53" s="1" t="n">
        <v>46311</v>
      </c>
      <c r="F53" t="inlineStr">
        <is>
          <t>KRONOBERGS LÄN</t>
        </is>
      </c>
      <c r="G53" t="inlineStr">
        <is>
          <t>LJUNGBY</t>
        </is>
      </c>
      <c r="I53" t="n">
        <v>1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2</v>
      </c>
      <c r="T53" t="n">
        <v>2</v>
      </c>
      <c r="U53" t="n">
        <v>0</v>
      </c>
      <c r="V53" s="2" t="inlineStr">
        <is>
          <t>Jungfrulin
Månlåsbräken</t>
        </is>
      </c>
      <c r="W53">
        <f>HYPERLINK("https://klasma.github.io/Logging_0781/artfynd/A 56760-2025 artfynd.xlsx", "A 56760-2025")</f>
        <v/>
      </c>
      <c r="X53">
        <f>HYPERLINK("https://klasma.github.io/Logging_0781/kartor/A 56760-2025 karta.png", "A 56760-2025")</f>
        <v/>
      </c>
      <c r="Y53">
        <f>HYPERLINK("https://klasma.github.io/Logging_0781/kartor_geotiff/A 56760-2025 georefererad karta.tif", "A 56760-2025")</f>
        <v/>
      </c>
      <c r="AA53">
        <f>HYPERLINK("https://klasma.github.io/Logging_0781/klagomål/A 56760-2025 FSC-klagomål.docx", "A 56760-2025")</f>
        <v/>
      </c>
      <c r="AB53">
        <f>HYPERLINK("https://klasma.github.io/Logging_0781/klagomålsmail/A 56760-2025 FSC-klagomål mail.docx", "A 56760-2025")</f>
        <v/>
      </c>
      <c r="AC53">
        <f>HYPERLINK("https://klasma.github.io/Logging_0781/tillsyn/A 56760-2025 tillsynsbegäran.docx", "A 56760-2025")</f>
        <v/>
      </c>
      <c r="AD53">
        <f>HYPERLINK("https://klasma.github.io/Logging_0781/tillsynsmail/A 56760-2025 tillsynsbegäran mail.docx", "A 56760-2025")</f>
        <v/>
      </c>
    </row>
    <row r="54" ht="15" customHeight="1">
      <c r="A54" t="inlineStr">
        <is>
          <t>A 32346-2024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45512</v>
      </c>
      <c r="E54" s="1" t="n">
        <v>46311</v>
      </c>
      <c r="F54" t="inlineStr">
        <is>
          <t>KRONOBERGS LÄN</t>
        </is>
      </c>
      <c r="G54" t="inlineStr">
        <is>
          <t>LJUNGBY</t>
        </is>
      </c>
      <c r="I54" t="n">
        <v>2.6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2</v>
      </c>
      <c r="R54" t="n">
        <v>2</v>
      </c>
      <c r="S54" t="n">
        <v>2</v>
      </c>
      <c r="T54" t="n">
        <v>2</v>
      </c>
      <c r="U54" t="n">
        <v>0</v>
      </c>
      <c r="V54" s="2" t="inlineStr">
        <is>
          <t>Klockgentiana
Sjötåtel</t>
        </is>
      </c>
      <c r="W54">
        <f>HYPERLINK("https://klasma.github.io/Logging_0781/artfynd/A 32346-2024 artfynd.xlsx", "A 32346-2024")</f>
        <v/>
      </c>
      <c r="X54">
        <f>HYPERLINK("https://klasma.github.io/Logging_0781/kartor/A 32346-2024 karta.png", "A 32346-2024")</f>
        <v/>
      </c>
      <c r="Y54">
        <f>HYPERLINK("https://klasma.github.io/Logging_0781/kartor_geotiff/A 32346-2024 georefererad karta.tif", "A 32346-2024")</f>
        <v/>
      </c>
      <c r="AA54">
        <f>HYPERLINK("https://klasma.github.io/Logging_0781/klagomål/A 32346-2024 FSC-klagomål.docx", "A 32346-2024")</f>
        <v/>
      </c>
      <c r="AB54">
        <f>HYPERLINK("https://klasma.github.io/Logging_0781/klagomålsmail/A 32346-2024 FSC-klagomål mail.docx", "A 32346-2024")</f>
        <v/>
      </c>
      <c r="AC54">
        <f>HYPERLINK("https://klasma.github.io/Logging_0781/tillsyn/A 32346-2024 tillsynsbegäran.docx", "A 32346-2024")</f>
        <v/>
      </c>
      <c r="AD54">
        <f>HYPERLINK("https://klasma.github.io/Logging_0781/tillsynsmail/A 32346-2024 tillsynsbegäran mail.docx", "A 32346-2024")</f>
        <v/>
      </c>
    </row>
    <row r="55" ht="15" customHeight="1">
      <c r="A55" t="inlineStr">
        <is>
          <t>A 60681-2025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45996</v>
      </c>
      <c r="E55" s="1" t="n">
        <v>46311</v>
      </c>
      <c r="F55" t="inlineStr">
        <is>
          <t>KRONOBERGS LÄN</t>
        </is>
      </c>
      <c r="G55" t="inlineStr">
        <is>
          <t>LJUNGBY</t>
        </is>
      </c>
      <c r="I55" t="n">
        <v>5.6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2</v>
      </c>
      <c r="U55" t="n">
        <v>0</v>
      </c>
      <c r="V55" s="2" t="inlineStr">
        <is>
          <t>Gulsparv
Spillkråka</t>
        </is>
      </c>
      <c r="W55">
        <f>HYPERLINK("https://klasma.github.io/Logging_0781/artfynd/A 60681-2025 artfynd.xlsx", "A 60681-2025")</f>
        <v/>
      </c>
      <c r="X55">
        <f>HYPERLINK("https://klasma.github.io/Logging_0781/kartor/A 60681-2025 karta.png", "A 60681-2025")</f>
        <v/>
      </c>
      <c r="Y55">
        <f>HYPERLINK("https://klasma.github.io/Logging_0781/kartor_geotiff/A 60681-2025 georefererad karta.tif", "A 60681-2025")</f>
        <v/>
      </c>
      <c r="AA55">
        <f>HYPERLINK("https://klasma.github.io/Logging_0781/klagomål/A 60681-2025 FSC-klagomål.docx", "A 60681-2025")</f>
        <v/>
      </c>
      <c r="AB55">
        <f>HYPERLINK("https://klasma.github.io/Logging_0781/klagomålsmail/A 60681-2025 FSC-klagomål mail.docx", "A 60681-2025")</f>
        <v/>
      </c>
      <c r="AC55">
        <f>HYPERLINK("https://klasma.github.io/Logging_0781/tillsyn/A 60681-2025 tillsynsbegäran.docx", "A 60681-2025")</f>
        <v/>
      </c>
      <c r="AD55">
        <f>HYPERLINK("https://klasma.github.io/Logging_0781/tillsynsmail/A 60681-2025 tillsynsbegäran mail.docx", "A 60681-2025")</f>
        <v/>
      </c>
      <c r="AE55">
        <f>HYPERLINK("https://klasma.github.io/Logging_0781/fåglar/A 60681-2025 prioriterade fågelarter.docx", "A 60681-2025")</f>
        <v/>
      </c>
    </row>
    <row r="56" ht="15" customHeight="1">
      <c r="A56" t="inlineStr">
        <is>
          <t>A 62862-2023</t>
        </is>
      </c>
      <c r="B56" t="inlineStr">
        <is>
          <t>avverkningsanmälan</t>
        </is>
      </c>
      <c r="C56" t="inlineStr">
        <is>
          <t>Avverkning för att bevara och utveckla /försöksver</t>
        </is>
      </c>
      <c r="D56" s="1" t="n">
        <v>45272</v>
      </c>
      <c r="E56" s="1" t="n">
        <v>46311</v>
      </c>
      <c r="F56" t="inlineStr">
        <is>
          <t>KRONOBERGS LÄN</t>
        </is>
      </c>
      <c r="G56" t="inlineStr">
        <is>
          <t>LJUNGBY</t>
        </is>
      </c>
      <c r="I56" t="n">
        <v>4.2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3</v>
      </c>
      <c r="U56" t="n">
        <v>0</v>
      </c>
      <c r="V56" s="2" t="inlineStr">
        <is>
          <t>Barkkornlav
Klippfrullania</t>
        </is>
      </c>
      <c r="W56">
        <f>HYPERLINK("https://klasma.github.io/Logging_0781/artfynd/A 62862-2023 artfynd.xlsx", "A 62862-2023")</f>
        <v/>
      </c>
      <c r="X56">
        <f>HYPERLINK("https://klasma.github.io/Logging_0781/kartor/A 62862-2023 karta.png", "A 62862-2023")</f>
        <v/>
      </c>
      <c r="Y56">
        <f>HYPERLINK("https://klasma.github.io/Logging_0781/kartor_geotiff/A 62862-2023 georefererad karta.tif", "A 62862-2023")</f>
        <v/>
      </c>
      <c r="AA56">
        <f>HYPERLINK("https://klasma.github.io/Logging_0781/klagomål/A 62862-2023 FSC-klagomål.docx", "A 62862-2023")</f>
        <v/>
      </c>
      <c r="AB56">
        <f>HYPERLINK("https://klasma.github.io/Logging_0781/klagomålsmail/A 62862-2023 FSC-klagomål mail.docx", "A 62862-2023")</f>
        <v/>
      </c>
      <c r="AC56">
        <f>HYPERLINK("https://klasma.github.io/Logging_0781/tillsyn/A 62862-2023 tillsynsbegäran.docx", "A 62862-2023")</f>
        <v/>
      </c>
      <c r="AD56">
        <f>HYPERLINK("https://klasma.github.io/Logging_0781/tillsynsmail/A 62862-2023 tillsynsbegäran mail.docx", "A 62862-2023")</f>
        <v/>
      </c>
    </row>
    <row r="57" ht="15" customHeight="1">
      <c r="A57" t="inlineStr">
        <is>
          <t>A 36693-2026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46272</v>
      </c>
      <c r="E57" s="1" t="n">
        <v>46311</v>
      </c>
      <c r="F57" t="inlineStr">
        <is>
          <t>KRONOBERGS LÄN</t>
        </is>
      </c>
      <c r="G57" t="inlineStr">
        <is>
          <t>LJUNGBY</t>
        </is>
      </c>
      <c r="I57" t="n">
        <v>2.9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s="2" t="inlineStr">
        <is>
          <t>Källmossa
Gröngöling</t>
        </is>
      </c>
      <c r="W57">
        <f>HYPERLINK("https://klasma.github.io/Logging_0781/artfynd/A 36693-2026 artfynd.xlsx", "A 36693-2026")</f>
        <v/>
      </c>
      <c r="X57">
        <f>HYPERLINK("https://klasma.github.io/Logging_0781/kartor/A 36693-2026 karta.png", "A 36693-2026")</f>
        <v/>
      </c>
      <c r="Y57">
        <f>HYPERLINK("https://klasma.github.io/Logging_0781/kartor_geotiff/A 36693-2026 georefererad karta.tif", "A 36693-2026")</f>
        <v/>
      </c>
      <c r="AA57">
        <f>HYPERLINK("https://klasma.github.io/Logging_0781/klagomål/A 36693-2026 FSC-klagomål.docx", "A 36693-2026")</f>
        <v/>
      </c>
      <c r="AB57">
        <f>HYPERLINK("https://klasma.github.io/Logging_0781/klagomålsmail/A 36693-2026 FSC-klagomål mail.docx", "A 36693-2026")</f>
        <v/>
      </c>
      <c r="AC57">
        <f>HYPERLINK("https://klasma.github.io/Logging_0781/tillsyn/A 36693-2026 tillsynsbegäran.docx", "A 36693-2026")</f>
        <v/>
      </c>
      <c r="AD57">
        <f>HYPERLINK("https://klasma.github.io/Logging_0781/tillsynsmail/A 36693-2026 tillsynsbegäran mail.docx", "A 36693-2026")</f>
        <v/>
      </c>
    </row>
    <row r="58" ht="15" customHeight="1">
      <c r="A58" t="inlineStr">
        <is>
          <t>S 1592-2022</t>
        </is>
      </c>
      <c r="B58" t="inlineStr">
        <is>
          <t>samrådsanmälan</t>
        </is>
      </c>
      <c r="C58" t="inlineStr">
        <is>
          <t>Askåterföring</t>
        </is>
      </c>
      <c r="D58" s="1" t="n">
        <v>44644</v>
      </c>
      <c r="E58" s="1" t="n">
        <v>46311</v>
      </c>
      <c r="F58" t="inlineStr">
        <is>
          <t>KRONOBERGS LÄN</t>
        </is>
      </c>
      <c r="G58" t="inlineStr">
        <is>
          <t>LJUNGBY</t>
        </is>
      </c>
      <c r="I58" t="n">
        <v>41.5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2</v>
      </c>
      <c r="T58" t="n">
        <v>4</v>
      </c>
      <c r="U58" t="n">
        <v>1</v>
      </c>
      <c r="V58" s="2" t="inlineStr">
        <is>
          <t>Knärot
Borsttåg</t>
        </is>
      </c>
      <c r="W58">
        <f>HYPERLINK("https://klasma.github.io/Logging_0781/artfynd/S 1592-2022 artfynd.xlsx", "S 1592-2022")</f>
        <v/>
      </c>
      <c r="X58">
        <f>HYPERLINK("https://klasma.github.io/Logging_0781/kartor/S 1592-2022 karta.png", "S 1592-2022")</f>
        <v/>
      </c>
      <c r="Y58">
        <f>HYPERLINK("https://klasma.github.io/Logging_0781/kartor_geotiff/S 1592-2022 georefererad karta.tif", "S 1592-2022")</f>
        <v/>
      </c>
      <c r="Z58">
        <f>HYPERLINK("https://klasma.github.io/Logging_0781/knärot/S 1592-2022 karta knärot.png", "S 1592-2022")</f>
        <v/>
      </c>
      <c r="AA58">
        <f>HYPERLINK("https://klasma.github.io/Logging_0781/klagomål/S 1592-2022 FSC-klagomål.docx", "S 1592-2022")</f>
        <v/>
      </c>
      <c r="AB58">
        <f>HYPERLINK("https://klasma.github.io/Logging_0781/klagomålsmail/S 1592-2022 FSC-klagomål mail.docx", "S 1592-2022")</f>
        <v/>
      </c>
      <c r="AC58">
        <f>HYPERLINK("https://klasma.github.io/Logging_0781/tillsyn/S 1592-2022 tillsynsbegäran.docx", "S 1592-2022")</f>
        <v/>
      </c>
      <c r="AD58">
        <f>HYPERLINK("https://klasma.github.io/Logging_0781/tillsynsmail/S 1592-2022 tillsynsbegäran mail.docx", "S 1592-2022")</f>
        <v/>
      </c>
    </row>
    <row r="59" ht="15" customHeight="1">
      <c r="A59" t="inlineStr">
        <is>
          <t>S 1134-2022</t>
        </is>
      </c>
      <c r="B59" t="inlineStr">
        <is>
          <t>samrådsanmälan</t>
        </is>
      </c>
      <c r="C59" t="inlineStr">
        <is>
          <t>Askåterföring</t>
        </is>
      </c>
      <c r="D59" s="1" t="n">
        <v>44616</v>
      </c>
      <c r="E59" s="1" t="n">
        <v>46311</v>
      </c>
      <c r="F59" t="inlineStr">
        <is>
          <t>KRONOBERGS LÄN</t>
        </is>
      </c>
      <c r="G59" t="inlineStr">
        <is>
          <t>LJUNGBY</t>
        </is>
      </c>
      <c r="I59" t="n">
        <v>12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2</v>
      </c>
      <c r="T59" t="n">
        <v>2</v>
      </c>
      <c r="U59" t="n">
        <v>1</v>
      </c>
      <c r="V59" s="2" t="inlineStr">
        <is>
          <t>Nötkråka
Rostfläck</t>
        </is>
      </c>
      <c r="W59">
        <f>HYPERLINK("https://klasma.github.io/Logging_0781/artfynd/S 1134-2022 artfynd.xlsx", "S 1134-2022")</f>
        <v/>
      </c>
      <c r="X59">
        <f>HYPERLINK("https://klasma.github.io/Logging_0781/kartor/S 1134-2022 karta.png", "S 1134-2022")</f>
        <v/>
      </c>
      <c r="Y59">
        <f>HYPERLINK("https://klasma.github.io/Logging_0781/kartor_geotiff/S 1134-2022 georefererad karta.tif", "S 1134-2022")</f>
        <v/>
      </c>
      <c r="AA59">
        <f>HYPERLINK("https://klasma.github.io/Logging_0781/klagomål/S 1134-2022 FSC-klagomål.docx", "S 1134-2022")</f>
        <v/>
      </c>
      <c r="AB59">
        <f>HYPERLINK("https://klasma.github.io/Logging_0781/klagomålsmail/S 1134-2022 FSC-klagomål mail.docx", "S 1134-2022")</f>
        <v/>
      </c>
      <c r="AC59">
        <f>HYPERLINK("https://klasma.github.io/Logging_0781/tillsyn/S 1134-2022 tillsynsbegäran.docx", "S 1134-2022")</f>
        <v/>
      </c>
      <c r="AD59">
        <f>HYPERLINK("https://klasma.github.io/Logging_0781/tillsynsmail/S 1134-2022 tillsynsbegäran mail.docx", "S 1134-2022")</f>
        <v/>
      </c>
      <c r="AE59">
        <f>HYPERLINK("https://klasma.github.io/Logging_0781/fåglar/S 1134-2022 prioriterade fågelarter.docx", "S 1134-2022")</f>
        <v/>
      </c>
    </row>
    <row r="60" ht="15" customHeight="1">
      <c r="A60" t="inlineStr">
        <is>
          <t>S 417-2022</t>
        </is>
      </c>
      <c r="B60" t="inlineStr">
        <is>
          <t>samrådsanmälan</t>
        </is>
      </c>
      <c r="C60" t="inlineStr">
        <is>
          <t>Askåterföring</t>
        </is>
      </c>
      <c r="D60" s="1" t="n">
        <v>44585</v>
      </c>
      <c r="E60" s="1" t="n">
        <v>46311</v>
      </c>
      <c r="F60" t="inlineStr">
        <is>
          <t>KRONOBERGS LÄN</t>
        </is>
      </c>
      <c r="G60" t="inlineStr">
        <is>
          <t>LJUNGBY</t>
        </is>
      </c>
      <c r="I60" t="n">
        <v>45.6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2</v>
      </c>
      <c r="T60" t="n">
        <v>4</v>
      </c>
      <c r="U60" t="n">
        <v>3</v>
      </c>
      <c r="V60" s="2" t="inlineStr">
        <is>
          <t>Knärot
Borsttåg</t>
        </is>
      </c>
      <c r="W60">
        <f>HYPERLINK("https://klasma.github.io/Logging_0781/artfynd/S 417-2022 artfynd.xlsx", "S 417-2022")</f>
        <v/>
      </c>
      <c r="X60">
        <f>HYPERLINK("https://klasma.github.io/Logging_0781/kartor/S 417-2022 karta.png", "S 417-2022")</f>
        <v/>
      </c>
      <c r="Y60">
        <f>HYPERLINK("https://klasma.github.io/Logging_0781/kartor_geotiff/S 417-2022 georefererad karta.tif", "S 417-2022")</f>
        <v/>
      </c>
      <c r="Z60">
        <f>HYPERLINK("https://klasma.github.io/Logging_0781/knärot/S 417-2022 karta knärot.png", "S 417-2022")</f>
        <v/>
      </c>
      <c r="AA60">
        <f>HYPERLINK("https://klasma.github.io/Logging_0781/klagomål/S 417-2022 FSC-klagomål.docx", "S 417-2022")</f>
        <v/>
      </c>
      <c r="AB60">
        <f>HYPERLINK("https://klasma.github.io/Logging_0781/klagomålsmail/S 417-2022 FSC-klagomål mail.docx", "S 417-2022")</f>
        <v/>
      </c>
      <c r="AC60">
        <f>HYPERLINK("https://klasma.github.io/Logging_0781/tillsyn/S 417-2022 tillsynsbegäran.docx", "S 417-2022")</f>
        <v/>
      </c>
      <c r="AD60">
        <f>HYPERLINK("https://klasma.github.io/Logging_0781/tillsynsmail/S 417-2022 tillsynsbegäran mail.docx", "S 417-2022")</f>
        <v/>
      </c>
    </row>
    <row r="61" ht="15" customHeight="1">
      <c r="A61" t="inlineStr">
        <is>
          <t>S 1410-2023</t>
        </is>
      </c>
      <c r="B61" t="inlineStr">
        <is>
          <t>samrådsanmälan</t>
        </is>
      </c>
      <c r="C61" t="inlineStr">
        <is>
          <t>Askåterföring</t>
        </is>
      </c>
      <c r="D61" s="1" t="n">
        <v>45042</v>
      </c>
      <c r="E61" s="1" t="n">
        <v>46311</v>
      </c>
      <c r="F61" t="inlineStr">
        <is>
          <t>KRONOBERGS LÄN</t>
        </is>
      </c>
      <c r="G61" t="inlineStr">
        <is>
          <t>LJUNGBY</t>
        </is>
      </c>
      <c r="I61" t="n">
        <v>14.5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2</v>
      </c>
      <c r="U61" t="n">
        <v>2</v>
      </c>
      <c r="V61" s="2" t="inlineStr">
        <is>
          <t>Mattlummer
Revlummer</t>
        </is>
      </c>
      <c r="W61">
        <f>HYPERLINK("https://klasma.github.io/Logging_0781/artfynd/S 1410-2023 artfynd.xlsx", "S 1410-2023")</f>
        <v/>
      </c>
      <c r="X61">
        <f>HYPERLINK("https://klasma.github.io/Logging_0781/kartor/S 1410-2023 karta.png", "S 1410-2023")</f>
        <v/>
      </c>
      <c r="Y61">
        <f>HYPERLINK("https://klasma.github.io/Logging_0781/kartor_geotiff/S 1410-2023 georefererad karta.tif", "S 1410-2023")</f>
        <v/>
      </c>
      <c r="Z61">
        <f>HYPERLINK("https://klasma.github.io/Logging_0781/knärot/S 1410-2023 karta knärot.png", "S 1410-2023")</f>
        <v/>
      </c>
      <c r="AA61">
        <f>HYPERLINK("https://klasma.github.io/Logging_0781/klagomål/S 1410-2023 FSC-klagomål.docx", "S 1410-2023")</f>
        <v/>
      </c>
      <c r="AB61">
        <f>HYPERLINK("https://klasma.github.io/Logging_0781/klagomålsmail/S 1410-2023 FSC-klagomål mail.docx", "S 1410-2023")</f>
        <v/>
      </c>
      <c r="AC61">
        <f>HYPERLINK("https://klasma.github.io/Logging_0781/tillsyn/S 1410-2023 tillsynsbegäran.docx", "S 1410-2023")</f>
        <v/>
      </c>
      <c r="AD61">
        <f>HYPERLINK("https://klasma.github.io/Logging_0781/tillsynsmail/S 1410-2023 tillsynsbegäran mail.docx", "S 1410-2023")</f>
        <v/>
      </c>
    </row>
    <row r="62" ht="15" customHeight="1">
      <c r="A62" t="inlineStr">
        <is>
          <t>S 1526-2023</t>
        </is>
      </c>
      <c r="B62" t="inlineStr">
        <is>
          <t>samrådsanmälan</t>
        </is>
      </c>
      <c r="C62" t="inlineStr">
        <is>
          <t>Askåterföring</t>
        </is>
      </c>
      <c r="D62" s="1" t="n">
        <v>45013</v>
      </c>
      <c r="E62" s="1" t="n">
        <v>46311</v>
      </c>
      <c r="F62" t="inlineStr">
        <is>
          <t>KRONOBERGS LÄN</t>
        </is>
      </c>
      <c r="G62" t="inlineStr">
        <is>
          <t>LJUNGBY</t>
        </is>
      </c>
      <c r="I62" t="n">
        <v>155.9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</v>
      </c>
      <c r="S62" t="n">
        <v>2</v>
      </c>
      <c r="T62" t="n">
        <v>4</v>
      </c>
      <c r="U62" t="n">
        <v>0</v>
      </c>
      <c r="V62" s="2" t="inlineStr">
        <is>
          <t>Klockgentiana
Sjötåtel</t>
        </is>
      </c>
      <c r="W62">
        <f>HYPERLINK("https://klasma.github.io/Logging_0781/artfynd/S 1526-2023 artfynd.xlsx", "S 1526-2023")</f>
        <v/>
      </c>
      <c r="X62">
        <f>HYPERLINK("https://klasma.github.io/Logging_0781/kartor/S 1526-2023 karta.png", "S 1526-2023")</f>
        <v/>
      </c>
      <c r="Y62">
        <f>HYPERLINK("https://klasma.github.io/Logging_0781/kartor_geotiff/S 1526-2023 georefererad karta.tif", "S 1526-2023")</f>
        <v/>
      </c>
      <c r="AA62">
        <f>HYPERLINK("https://klasma.github.io/Logging_0781/klagomål/S 1526-2023 FSC-klagomål.docx", "S 1526-2023")</f>
        <v/>
      </c>
      <c r="AB62">
        <f>HYPERLINK("https://klasma.github.io/Logging_0781/klagomålsmail/S 1526-2023 FSC-klagomål mail.docx", "S 1526-2023")</f>
        <v/>
      </c>
      <c r="AC62">
        <f>HYPERLINK("https://klasma.github.io/Logging_0781/tillsyn/S 1526-2023 tillsynsbegäran.docx", "S 1526-2023")</f>
        <v/>
      </c>
      <c r="AD62">
        <f>HYPERLINK("https://klasma.github.io/Logging_0781/tillsynsmail/S 1526-2023 tillsynsbegäran mail.docx", "S 1526-2023")</f>
        <v/>
      </c>
    </row>
    <row r="63" ht="15" customHeight="1">
      <c r="A63" t="inlineStr">
        <is>
          <t>S 1589-2024</t>
        </is>
      </c>
      <c r="B63" t="inlineStr">
        <is>
          <t>samrådsanmälan</t>
        </is>
      </c>
      <c r="C63" t="inlineStr">
        <is>
          <t>Askåterföring</t>
        </is>
      </c>
      <c r="D63" s="1" t="n">
        <v>45427</v>
      </c>
      <c r="E63" s="1" t="n">
        <v>46311</v>
      </c>
      <c r="F63" t="inlineStr">
        <is>
          <t>KRONOBERGS LÄN</t>
        </is>
      </c>
      <c r="G63" t="inlineStr">
        <is>
          <t>LJUNGBY</t>
        </is>
      </c>
      <c r="I63" t="n">
        <v>40.3</v>
      </c>
      <c r="J63" t="n">
        <v>2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2</v>
      </c>
      <c r="T63" t="n">
        <v>2</v>
      </c>
      <c r="U63" t="n">
        <v>0</v>
      </c>
      <c r="V63" s="2" t="inlineStr">
        <is>
          <t>Kungsörn
Spillkråka</t>
        </is>
      </c>
      <c r="W63">
        <f>HYPERLINK("https://klasma.github.io/Logging_0781/artfynd/S 1589-2024 artfynd.xlsx", "S 1589-2024")</f>
        <v/>
      </c>
      <c r="X63">
        <f>HYPERLINK("https://klasma.github.io/Logging_0781/kartor/S 1589-2024 karta.png", "S 1589-2024")</f>
        <v/>
      </c>
      <c r="Y63">
        <f>HYPERLINK("https://klasma.github.io/Logging_0781/kartor_geotiff/S 1589-2024 georefererad karta.tif", "S 1589-2024")</f>
        <v/>
      </c>
      <c r="AA63">
        <f>HYPERLINK("https://klasma.github.io/Logging_0781/klagomål/S 1589-2024 FSC-klagomål.docx", "S 1589-2024")</f>
        <v/>
      </c>
      <c r="AB63">
        <f>HYPERLINK("https://klasma.github.io/Logging_0781/klagomålsmail/S 1589-2024 FSC-klagomål mail.docx", "S 1589-2024")</f>
        <v/>
      </c>
      <c r="AC63">
        <f>HYPERLINK("https://klasma.github.io/Logging_0781/tillsyn/S 1589-2024 tillsynsbegäran.docx", "S 1589-2024")</f>
        <v/>
      </c>
      <c r="AD63">
        <f>HYPERLINK("https://klasma.github.io/Logging_0781/tillsynsmail/S 1589-2024 tillsynsbegäran mail.docx", "S 1589-2024")</f>
        <v/>
      </c>
      <c r="AE63">
        <f>HYPERLINK("https://klasma.github.io/Logging_0781/fåglar/S 1589-2024 prioriterade fågelarter.docx", "S 1589-2024")</f>
        <v/>
      </c>
    </row>
    <row r="64" ht="15" customHeight="1">
      <c r="A64" t="inlineStr">
        <is>
          <t>S 2980-2024</t>
        </is>
      </c>
      <c r="B64" t="inlineStr">
        <is>
          <t>samrådsanmälan</t>
        </is>
      </c>
      <c r="C64" t="inlineStr">
        <is>
          <t>Askåterföring</t>
        </is>
      </c>
      <c r="D64" s="1" t="n">
        <v>45510</v>
      </c>
      <c r="E64" s="1" t="n">
        <v>46311</v>
      </c>
      <c r="F64" t="inlineStr">
        <is>
          <t>KRONOBERGS LÄN</t>
        </is>
      </c>
      <c r="G64" t="inlineStr">
        <is>
          <t>LJUNGBY</t>
        </is>
      </c>
      <c r="I64" t="n">
        <v>64.90000000000001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6</v>
      </c>
      <c r="U64" t="n">
        <v>0</v>
      </c>
      <c r="V64" s="2" t="inlineStr">
        <is>
          <t>Hårginst
Talltita</t>
        </is>
      </c>
      <c r="W64">
        <f>HYPERLINK("https://klasma.github.io/Logging_0781/artfynd/S 2980-2024 artfynd.xlsx", "S 2980-2024")</f>
        <v/>
      </c>
      <c r="X64">
        <f>HYPERLINK("https://klasma.github.io/Logging_0781/kartor/S 2980-2024 karta.png", "S 2980-2024")</f>
        <v/>
      </c>
      <c r="Y64">
        <f>HYPERLINK("https://klasma.github.io/Logging_0781/kartor_geotiff/S 2980-2024 georefererad karta.tif", "S 2980-2024")</f>
        <v/>
      </c>
      <c r="AA64">
        <f>HYPERLINK("https://klasma.github.io/Logging_0781/klagomål/S 2980-2024 FSC-klagomål.docx", "S 2980-2024")</f>
        <v/>
      </c>
      <c r="AB64">
        <f>HYPERLINK("https://klasma.github.io/Logging_0781/klagomålsmail/S 2980-2024 FSC-klagomål mail.docx", "S 2980-2024")</f>
        <v/>
      </c>
      <c r="AC64">
        <f>HYPERLINK("https://klasma.github.io/Logging_0781/tillsyn/S 2980-2024 tillsynsbegäran.docx", "S 2980-2024")</f>
        <v/>
      </c>
      <c r="AD64">
        <f>HYPERLINK("https://klasma.github.io/Logging_0781/tillsynsmail/S 2980-2024 tillsynsbegäran mail.docx", "S 2980-2024")</f>
        <v/>
      </c>
      <c r="AE64">
        <f>HYPERLINK("https://klasma.github.io/Logging_0781/fåglar/S 2980-2024 prioriterade fågelarter.docx", "S 2980-2024")</f>
        <v/>
      </c>
    </row>
    <row r="65" ht="15" customHeight="1">
      <c r="A65" t="inlineStr">
        <is>
          <t>S 938-2024</t>
        </is>
      </c>
      <c r="B65" t="inlineStr">
        <is>
          <t>samrådsanmälan</t>
        </is>
      </c>
      <c r="C65" t="inlineStr">
        <is>
          <t>Skogsgödsling</t>
        </is>
      </c>
      <c r="D65" s="1" t="n">
        <v>45378</v>
      </c>
      <c r="E65" s="1" t="n">
        <v>46311</v>
      </c>
      <c r="F65" t="inlineStr">
        <is>
          <t>KRONOBERGS LÄN</t>
        </is>
      </c>
      <c r="G65" t="inlineStr">
        <is>
          <t>LJUNGBY</t>
        </is>
      </c>
      <c r="I65" t="n">
        <v>24.6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s="2" t="inlineStr">
        <is>
          <t>Barkkornlav
Bårdlav</t>
        </is>
      </c>
      <c r="W65">
        <f>HYPERLINK("https://klasma.github.io/Logging_0781/artfynd/S 938-2024 artfynd.xlsx", "S 938-2024")</f>
        <v/>
      </c>
      <c r="X65">
        <f>HYPERLINK("https://klasma.github.io/Logging_0781/kartor/S 938-2024 karta.png", "S 938-2024")</f>
        <v/>
      </c>
      <c r="Y65">
        <f>HYPERLINK("https://klasma.github.io/Logging_0781/kartor_geotiff/S 938-2024 georefererad karta.tif", "S 938-2024")</f>
        <v/>
      </c>
      <c r="AA65">
        <f>HYPERLINK("https://klasma.github.io/Logging_0781/klagomål/S 938-2024 FSC-klagomål.docx", "S 938-2024")</f>
        <v/>
      </c>
      <c r="AB65">
        <f>HYPERLINK("https://klasma.github.io/Logging_0781/klagomålsmail/S 938-2024 FSC-klagomål mail.docx", "S 938-2024")</f>
        <v/>
      </c>
      <c r="AC65">
        <f>HYPERLINK("https://klasma.github.io/Logging_0781/tillsyn/S 938-2024 tillsynsbegäran.docx", "S 938-2024")</f>
        <v/>
      </c>
      <c r="AD65">
        <f>HYPERLINK("https://klasma.github.io/Logging_0781/tillsynsmail/S 938-2024 tillsynsbegäran mail.docx", "S 938-2024")</f>
        <v/>
      </c>
    </row>
    <row r="66" ht="15" customHeight="1">
      <c r="A66" t="inlineStr">
        <is>
          <t>S 8477-2021</t>
        </is>
      </c>
      <c r="B66" t="inlineStr">
        <is>
          <t>samrådsanmälan</t>
        </is>
      </c>
      <c r="C66" t="inlineStr">
        <is>
          <t>Askåterföring</t>
        </is>
      </c>
      <c r="D66" s="1" t="n">
        <v>44496</v>
      </c>
      <c r="E66" s="1" t="n">
        <v>46311</v>
      </c>
      <c r="F66" t="inlineStr">
        <is>
          <t>KRONOBERGS LÄN</t>
        </is>
      </c>
      <c r="G66" t="inlineStr">
        <is>
          <t>LJUNGBY</t>
        </is>
      </c>
      <c r="I66" t="n">
        <v>31.8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3</v>
      </c>
      <c r="U66" t="n">
        <v>0</v>
      </c>
      <c r="V66" s="2" t="inlineStr">
        <is>
          <t>Klippfrullania
Tibast</t>
        </is>
      </c>
      <c r="W66">
        <f>HYPERLINK("https://klasma.github.io/Logging_0781/artfynd/S 8477-2021 artfynd.xlsx", "S 8477-2021")</f>
        <v/>
      </c>
      <c r="X66">
        <f>HYPERLINK("https://klasma.github.io/Logging_0781/kartor/S 8477-2021 karta.png", "S 8477-2021")</f>
        <v/>
      </c>
      <c r="Y66">
        <f>HYPERLINK("https://klasma.github.io/Logging_0781/kartor_geotiff/S 8477-2021 georefererad karta.tif", "S 8477-2021")</f>
        <v/>
      </c>
      <c r="AA66">
        <f>HYPERLINK("https://klasma.github.io/Logging_0781/klagomål/S 8477-2021 FSC-klagomål.docx", "S 8477-2021")</f>
        <v/>
      </c>
      <c r="AB66">
        <f>HYPERLINK("https://klasma.github.io/Logging_0781/klagomålsmail/S 8477-2021 FSC-klagomål mail.docx", "S 8477-2021")</f>
        <v/>
      </c>
      <c r="AC66">
        <f>HYPERLINK("https://klasma.github.io/Logging_0781/tillsyn/S 8477-2021 tillsynsbegäran.docx", "S 8477-2021")</f>
        <v/>
      </c>
      <c r="AD66">
        <f>HYPERLINK("https://klasma.github.io/Logging_0781/tillsynsmail/S 8477-2021 tillsynsbegäran mail.docx", "S 8477-2021")</f>
        <v/>
      </c>
    </row>
    <row r="67" ht="15" customHeight="1">
      <c r="A67" t="inlineStr">
        <is>
          <t>S 17-2026</t>
        </is>
      </c>
      <c r="B67" t="inlineStr">
        <is>
          <t>samrådsanmälan</t>
        </is>
      </c>
      <c r="C67" t="inlineStr">
        <is>
          <t>Askåterföring</t>
        </is>
      </c>
      <c r="D67" s="1" t="n">
        <v>46024</v>
      </c>
      <c r="E67" s="1" t="n">
        <v>46311</v>
      </c>
      <c r="F67" t="inlineStr">
        <is>
          <t>KRONOBERGS LÄN</t>
        </is>
      </c>
      <c r="G67" t="inlineStr">
        <is>
          <t>LJUNGBY</t>
        </is>
      </c>
      <c r="I67" t="n">
        <v>14.3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n">
        <v>2</v>
      </c>
      <c r="T67" t="n">
        <v>2</v>
      </c>
      <c r="U67" t="n">
        <v>0</v>
      </c>
      <c r="V67" s="2" t="inlineStr">
        <is>
          <t>Slåttergubbe
Backtimjan</t>
        </is>
      </c>
      <c r="W67">
        <f>HYPERLINK("https://klasma.github.io/Logging_0781/artfynd/S 17-2026 artfynd.xlsx", "S 17-2026")</f>
        <v/>
      </c>
      <c r="X67">
        <f>HYPERLINK("https://klasma.github.io/Logging_0781/kartor/S 17-2026 karta.png", "S 17-2026")</f>
        <v/>
      </c>
      <c r="Y67">
        <f>HYPERLINK("https://klasma.github.io/Logging_0781/kartor_geotiff/S 17-2026 georefererad karta.tif", "S 17-2026")</f>
        <v/>
      </c>
      <c r="AA67">
        <f>HYPERLINK("https://klasma.github.io/Logging_0781/klagomål/S 17-2026 FSC-klagomål.docx", "S 17-2026")</f>
        <v/>
      </c>
      <c r="AB67">
        <f>HYPERLINK("https://klasma.github.io/Logging_0781/klagomålsmail/S 17-2026 FSC-klagomål mail.docx", "S 17-2026")</f>
        <v/>
      </c>
      <c r="AC67">
        <f>HYPERLINK("https://klasma.github.io/Logging_0781/tillsyn/S 17-2026 tillsynsbegäran.docx", "S 17-2026")</f>
        <v/>
      </c>
      <c r="AD67">
        <f>HYPERLINK("https://klasma.github.io/Logging_0781/tillsynsmail/S 17-2026 tillsynsbegäran mail.docx", "S 17-2026")</f>
        <v/>
      </c>
    </row>
    <row r="68" ht="15" customHeight="1">
      <c r="A68" t="inlineStr">
        <is>
          <t>S 39-2026</t>
        </is>
      </c>
      <c r="B68" t="inlineStr">
        <is>
          <t>samrådsanmälan</t>
        </is>
      </c>
      <c r="C68" t="inlineStr">
        <is>
          <t>Annan skogsbruksåtgärd</t>
        </is>
      </c>
      <c r="D68" s="1" t="n">
        <v>46029</v>
      </c>
      <c r="E68" s="1" t="n">
        <v>46311</v>
      </c>
      <c r="F68" t="inlineStr">
        <is>
          <t>KRONOBERGS LÄN</t>
        </is>
      </c>
      <c r="G68" t="inlineStr">
        <is>
          <t>LJUNGBY</t>
        </is>
      </c>
      <c r="H68" t="inlineStr">
        <is>
          <t>Sveaskog</t>
        </is>
      </c>
      <c r="I68" t="n">
        <v>5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9</v>
      </c>
      <c r="U68" t="n">
        <v>0</v>
      </c>
      <c r="V68" s="2" t="inlineStr">
        <is>
          <t>Fällmossa
Klippfrullania</t>
        </is>
      </c>
      <c r="W68">
        <f>HYPERLINK("https://klasma.github.io/Logging_0781/artfynd/S 39-2026 artfynd.xlsx", "S 39-2026")</f>
        <v/>
      </c>
      <c r="X68">
        <f>HYPERLINK("https://klasma.github.io/Logging_0781/kartor/S 39-2026 karta.png", "S 39-2026")</f>
        <v/>
      </c>
      <c r="Y68">
        <f>HYPERLINK("https://klasma.github.io/Logging_0781/kartor_geotiff/S 39-2026 georefererad karta.tif", "S 39-2026")</f>
        <v/>
      </c>
      <c r="AA68">
        <f>HYPERLINK("https://klasma.github.io/Logging_0781/klagomål/S 39-2026 FSC-klagomål.docx", "S 39-2026")</f>
        <v/>
      </c>
      <c r="AB68">
        <f>HYPERLINK("https://klasma.github.io/Logging_0781/klagomålsmail/S 39-2026 FSC-klagomål mail.docx", "S 39-2026")</f>
        <v/>
      </c>
      <c r="AC68">
        <f>HYPERLINK("https://klasma.github.io/Logging_0781/tillsyn/S 39-2026 tillsynsbegäran.docx", "S 39-2026")</f>
        <v/>
      </c>
      <c r="AD68">
        <f>HYPERLINK("https://klasma.github.io/Logging_0781/tillsynsmail/S 39-2026 tillsynsbegäran mail.docx", "S 39-2026")</f>
        <v/>
      </c>
    </row>
    <row r="69" ht="15" customHeight="1">
      <c r="A69" t="inlineStr">
        <is>
          <t>S 1121-2026</t>
        </is>
      </c>
      <c r="B69" t="inlineStr">
        <is>
          <t>samrådsanmälan</t>
        </is>
      </c>
      <c r="C69" t="inlineStr">
        <is>
          <t>Askåterföring</t>
        </is>
      </c>
      <c r="D69" s="1" t="n">
        <v>46134</v>
      </c>
      <c r="E69" s="1" t="n">
        <v>46311</v>
      </c>
      <c r="F69" t="inlineStr">
        <is>
          <t>KRONOBERGS LÄN</t>
        </is>
      </c>
      <c r="G69" t="inlineStr">
        <is>
          <t>LJUNGBY</t>
        </is>
      </c>
      <c r="I69" t="n">
        <v>14.4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2</v>
      </c>
      <c r="T69" t="n">
        <v>2</v>
      </c>
      <c r="U69" t="n">
        <v>0</v>
      </c>
      <c r="V69" s="2" t="inlineStr">
        <is>
          <t>Slåttergubbe
Backtimjan</t>
        </is>
      </c>
      <c r="W69">
        <f>HYPERLINK("https://klasma.github.io/Logging_0781/artfynd/S 1121-2026 artfynd.xlsx", "S 1121-2026")</f>
        <v/>
      </c>
      <c r="X69">
        <f>HYPERLINK("https://klasma.github.io/Logging_0781/kartor/S 1121-2026 karta.png", "S 1121-2026")</f>
        <v/>
      </c>
      <c r="Y69">
        <f>HYPERLINK("https://klasma.github.io/Logging_0781/kartor_geotiff/S 1121-2026 georefererad karta.tif", "S 1121-2026")</f>
        <v/>
      </c>
      <c r="AA69">
        <f>HYPERLINK("https://klasma.github.io/Logging_0781/klagomål/S 1121-2026 FSC-klagomål.docx", "S 1121-2026")</f>
        <v/>
      </c>
      <c r="AB69">
        <f>HYPERLINK("https://klasma.github.io/Logging_0781/klagomålsmail/S 1121-2026 FSC-klagomål mail.docx", "S 1121-2026")</f>
        <v/>
      </c>
      <c r="AC69">
        <f>HYPERLINK("https://klasma.github.io/Logging_0781/tillsyn/S 1121-2026 tillsynsbegäran.docx", "S 1121-2026")</f>
        <v/>
      </c>
      <c r="AD69">
        <f>HYPERLINK("https://klasma.github.io/Logging_0781/tillsynsmail/S 1121-2026 tillsynsbegäran mail.docx", "S 1121-2026")</f>
        <v/>
      </c>
    </row>
    <row r="70" ht="15" customHeight="1">
      <c r="A70" t="inlineStr">
        <is>
          <t>S 1249-2026</t>
        </is>
      </c>
      <c r="B70" t="inlineStr">
        <is>
          <t>samrådsanmälan</t>
        </is>
      </c>
      <c r="C70" t="inlineStr">
        <is>
          <t>Askåterföring</t>
        </is>
      </c>
      <c r="D70" s="1" t="n">
        <v>46146</v>
      </c>
      <c r="E70" s="1" t="n">
        <v>46311</v>
      </c>
      <c r="F70" t="inlineStr">
        <is>
          <t>KRONOBERGS LÄN</t>
        </is>
      </c>
      <c r="G70" t="inlineStr">
        <is>
          <t>LJUNGBY</t>
        </is>
      </c>
      <c r="I70" t="n">
        <v>40.8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3</v>
      </c>
      <c r="U70" t="n">
        <v>0</v>
      </c>
      <c r="V70" s="2" t="inlineStr">
        <is>
          <t>Klippfrullania
Mattlummer</t>
        </is>
      </c>
      <c r="W70">
        <f>HYPERLINK("https://klasma.github.io/Logging_0781/artfynd/S 1249-2026 artfynd.xlsx", "S 1249-2026")</f>
        <v/>
      </c>
      <c r="X70">
        <f>HYPERLINK("https://klasma.github.io/Logging_0781/kartor/S 1249-2026 karta.png", "S 1249-2026")</f>
        <v/>
      </c>
      <c r="Y70">
        <f>HYPERLINK("https://klasma.github.io/Logging_0781/kartor_geotiff/S 1249-2026 georefererad karta.tif", "S 1249-2026")</f>
        <v/>
      </c>
      <c r="AA70">
        <f>HYPERLINK("https://klasma.github.io/Logging_0781/klagomål/S 1249-2026 FSC-klagomål.docx", "S 1249-2026")</f>
        <v/>
      </c>
      <c r="AB70">
        <f>HYPERLINK("https://klasma.github.io/Logging_0781/klagomålsmail/S 1249-2026 FSC-klagomål mail.docx", "S 1249-2026")</f>
        <v/>
      </c>
      <c r="AC70">
        <f>HYPERLINK("https://klasma.github.io/Logging_0781/tillsyn/S 1249-2026 tillsynsbegäran.docx", "S 1249-2026")</f>
        <v/>
      </c>
      <c r="AD70">
        <f>HYPERLINK("https://klasma.github.io/Logging_0781/tillsynsmail/S 1249-2026 tillsynsbegäran mail.docx", "S 1249-2026")</f>
        <v/>
      </c>
    </row>
    <row r="71" ht="15" customHeight="1">
      <c r="A71" t="inlineStr">
        <is>
          <t>S 1457-2026</t>
        </is>
      </c>
      <c r="B71" t="inlineStr">
        <is>
          <t>samrådsanmälan</t>
        </is>
      </c>
      <c r="C71" t="inlineStr">
        <is>
          <t>Askåterföring</t>
        </is>
      </c>
      <c r="D71" s="1" t="n">
        <v>46161</v>
      </c>
      <c r="E71" s="1" t="n">
        <v>46311</v>
      </c>
      <c r="F71" t="inlineStr">
        <is>
          <t>KRONOBERGS LÄN</t>
        </is>
      </c>
      <c r="G71" t="inlineStr">
        <is>
          <t>LJUNGBY</t>
        </is>
      </c>
      <c r="I71" t="n">
        <v>75.3</v>
      </c>
      <c r="J71" t="n">
        <v>2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2</v>
      </c>
      <c r="T71" t="n">
        <v>2</v>
      </c>
      <c r="U71" t="n">
        <v>0</v>
      </c>
      <c r="V71" s="2" t="inlineStr">
        <is>
          <t>Gulsparv
Kungsfågel</t>
        </is>
      </c>
      <c r="W71">
        <f>HYPERLINK("https://klasma.github.io/Logging_0781/artfynd/S 1457-2026 artfynd.xlsx", "S 1457-2026")</f>
        <v/>
      </c>
      <c r="X71">
        <f>HYPERLINK("https://klasma.github.io/Logging_0781/kartor/S 1457-2026 karta.png", "S 1457-2026")</f>
        <v/>
      </c>
      <c r="Y71">
        <f>HYPERLINK("https://klasma.github.io/Logging_0781/kartor_geotiff/S 1457-2026 georefererad karta.tif", "S 1457-2026")</f>
        <v/>
      </c>
      <c r="AA71">
        <f>HYPERLINK("https://klasma.github.io/Logging_0781/klagomål/S 1457-2026 FSC-klagomål.docx", "S 1457-2026")</f>
        <v/>
      </c>
      <c r="AB71">
        <f>HYPERLINK("https://klasma.github.io/Logging_0781/klagomålsmail/S 1457-2026 FSC-klagomål mail.docx", "S 1457-2026")</f>
        <v/>
      </c>
      <c r="AC71">
        <f>HYPERLINK("https://klasma.github.io/Logging_0781/tillsyn/S 1457-2026 tillsynsbegäran.docx", "S 1457-2026")</f>
        <v/>
      </c>
      <c r="AD71">
        <f>HYPERLINK("https://klasma.github.io/Logging_0781/tillsynsmail/S 1457-2026 tillsynsbegäran mail.docx", "S 1457-2026")</f>
        <v/>
      </c>
      <c r="AE71">
        <f>HYPERLINK("https://klasma.github.io/Logging_0781/fåglar/S 1457-2026 prioriterade fågelarter.docx", "S 1457-2026")</f>
        <v/>
      </c>
    </row>
    <row r="72" ht="15" customHeight="1">
      <c r="A72" t="inlineStr">
        <is>
          <t>A 17570-2022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44679</v>
      </c>
      <c r="E72" s="1" t="n">
        <v>46311</v>
      </c>
      <c r="F72" t="inlineStr">
        <is>
          <t>KRONOBERGS LÄN</t>
        </is>
      </c>
      <c r="G72" t="inlineStr">
        <is>
          <t>LJUNGBY</t>
        </is>
      </c>
      <c r="I72" t="n">
        <v>0.5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s="2" t="inlineStr">
        <is>
          <t>Borsttåg</t>
        </is>
      </c>
      <c r="W72">
        <f>HYPERLINK("https://klasma.github.io/Logging_0781/artfynd/A 17570-2022 artfynd.xlsx", "A 17570-2022")</f>
        <v/>
      </c>
      <c r="X72">
        <f>HYPERLINK("https://klasma.github.io/Logging_0781/kartor/A 17570-2022 karta.png", "A 17570-2022")</f>
        <v/>
      </c>
      <c r="Y72">
        <f>HYPERLINK("https://klasma.github.io/Logging_0781/kartor_geotiff/A 17570-2022 georefererad karta.tif", "A 17570-2022")</f>
        <v/>
      </c>
      <c r="AA72">
        <f>HYPERLINK("https://klasma.github.io/Logging_0781/klagomål/A 17570-2022 FSC-klagomål.docx", "A 17570-2022")</f>
        <v/>
      </c>
      <c r="AB72">
        <f>HYPERLINK("https://klasma.github.io/Logging_0781/klagomålsmail/A 17570-2022 FSC-klagomål mail.docx", "A 17570-2022")</f>
        <v/>
      </c>
      <c r="AC72">
        <f>HYPERLINK("https://klasma.github.io/Logging_0781/tillsyn/A 17570-2022 tillsynsbegäran.docx", "A 17570-2022")</f>
        <v/>
      </c>
      <c r="AD72">
        <f>HYPERLINK("https://klasma.github.io/Logging_0781/tillsynsmail/A 17570-2022 tillsynsbegäran mail.docx", "A 17570-2022")</f>
        <v/>
      </c>
    </row>
    <row r="73" ht="15" customHeight="1">
      <c r="A73" t="inlineStr">
        <is>
          <t>A 41124-2022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44825</v>
      </c>
      <c r="E73" s="1" t="n">
        <v>46311</v>
      </c>
      <c r="F73" t="inlineStr">
        <is>
          <t>KRONOBERGS LÄN</t>
        </is>
      </c>
      <c r="G73" t="inlineStr">
        <is>
          <t>LJUNGBY</t>
        </is>
      </c>
      <c r="I73" t="n">
        <v>1.3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s="2" t="inlineStr">
        <is>
          <t>Göktyta</t>
        </is>
      </c>
      <c r="W73">
        <f>HYPERLINK("https://klasma.github.io/Logging_0781/artfynd/A 41124-2022 artfynd.xlsx", "A 41124-2022")</f>
        <v/>
      </c>
      <c r="X73">
        <f>HYPERLINK("https://klasma.github.io/Logging_0781/kartor/A 41124-2022 karta.png", "A 41124-2022")</f>
        <v/>
      </c>
      <c r="Y73">
        <f>HYPERLINK("https://klasma.github.io/Logging_0781/kartor_geotiff/A 41124-2022 georefererad karta.tif", "A 41124-2022")</f>
        <v/>
      </c>
      <c r="AA73">
        <f>HYPERLINK("https://klasma.github.io/Logging_0781/klagomål/A 41124-2022 FSC-klagomål.docx", "A 41124-2022")</f>
        <v/>
      </c>
      <c r="AB73">
        <f>HYPERLINK("https://klasma.github.io/Logging_0781/klagomålsmail/A 41124-2022 FSC-klagomål mail.docx", "A 41124-2022")</f>
        <v/>
      </c>
      <c r="AC73">
        <f>HYPERLINK("https://klasma.github.io/Logging_0781/tillsyn/A 41124-2022 tillsynsbegäran.docx", "A 41124-2022")</f>
        <v/>
      </c>
      <c r="AD73">
        <f>HYPERLINK("https://klasma.github.io/Logging_0781/tillsynsmail/A 41124-2022 tillsynsbegäran mail.docx", "A 41124-2022")</f>
        <v/>
      </c>
      <c r="AE73">
        <f>HYPERLINK("https://klasma.github.io/Logging_0781/fåglar/A 41124-2022 prioriterade fågelarter.docx", "A 41124-2022")</f>
        <v/>
      </c>
    </row>
    <row r="74" ht="15" customHeight="1">
      <c r="A74" t="inlineStr">
        <is>
          <t>A 60235-2021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44495</v>
      </c>
      <c r="E74" s="1" t="n">
        <v>46311</v>
      </c>
      <c r="F74" t="inlineStr">
        <is>
          <t>KRONOBERGS LÄN</t>
        </is>
      </c>
      <c r="G74" t="inlineStr">
        <is>
          <t>LJUNGBY</t>
        </is>
      </c>
      <c r="I74" t="n">
        <v>9.4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s="2" t="inlineStr">
        <is>
          <t>Knärot</t>
        </is>
      </c>
      <c r="W74">
        <f>HYPERLINK("https://klasma.github.io/Logging_0781/artfynd/A 60235-2021 artfynd.xlsx", "A 60235-2021")</f>
        <v/>
      </c>
      <c r="X74">
        <f>HYPERLINK("https://klasma.github.io/Logging_0781/kartor/A 60235-2021 karta.png", "A 60235-2021")</f>
        <v/>
      </c>
      <c r="Y74">
        <f>HYPERLINK("https://klasma.github.io/Logging_0781/kartor_geotiff/A 60235-2021 georefererad karta.tif", "A 60235-2021")</f>
        <v/>
      </c>
      <c r="Z74">
        <f>HYPERLINK("https://klasma.github.io/Logging_0781/knärot/A 60235-2021 karta knärot.png", "A 60235-2021")</f>
        <v/>
      </c>
      <c r="AA74">
        <f>HYPERLINK("https://klasma.github.io/Logging_0781/klagomål/A 60235-2021 FSC-klagomål.docx", "A 60235-2021")</f>
        <v/>
      </c>
      <c r="AB74">
        <f>HYPERLINK("https://klasma.github.io/Logging_0781/klagomålsmail/A 60235-2021 FSC-klagomål mail.docx", "A 60235-2021")</f>
        <v/>
      </c>
      <c r="AC74">
        <f>HYPERLINK("https://klasma.github.io/Logging_0781/tillsyn/A 60235-2021 tillsynsbegäran.docx", "A 60235-2021")</f>
        <v/>
      </c>
      <c r="AD74">
        <f>HYPERLINK("https://klasma.github.io/Logging_0781/tillsynsmail/A 60235-2021 tillsynsbegäran mail.docx", "A 60235-2021")</f>
        <v/>
      </c>
    </row>
    <row r="75" ht="15" customHeight="1">
      <c r="A75" t="inlineStr">
        <is>
          <t>A 37212-2022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44806</v>
      </c>
      <c r="E75" s="1" t="n">
        <v>46311</v>
      </c>
      <c r="F75" t="inlineStr">
        <is>
          <t>KRONOBERGS LÄN</t>
        </is>
      </c>
      <c r="G75" t="inlineStr">
        <is>
          <t>LJUNGBY</t>
        </is>
      </c>
      <c r="I75" t="n">
        <v>0.5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2</v>
      </c>
      <c r="U75" t="n">
        <v>2</v>
      </c>
      <c r="V75" s="2" t="inlineStr">
        <is>
          <t>Knärot</t>
        </is>
      </c>
      <c r="W75">
        <f>HYPERLINK("https://klasma.github.io/Logging_0781/artfynd/A 37212-2022 artfynd.xlsx", "A 37212-2022")</f>
        <v/>
      </c>
      <c r="X75">
        <f>HYPERLINK("https://klasma.github.io/Logging_0781/kartor/A 37212-2022 karta.png", "A 37212-2022")</f>
        <v/>
      </c>
      <c r="Y75">
        <f>HYPERLINK("https://klasma.github.io/Logging_0781/kartor_geotiff/A 37212-2022 georefererad karta.tif", "A 37212-2022")</f>
        <v/>
      </c>
      <c r="Z75">
        <f>HYPERLINK("https://klasma.github.io/Logging_0781/knärot/A 37212-2022 karta knärot.png", "A 37212-2022")</f>
        <v/>
      </c>
      <c r="AA75">
        <f>HYPERLINK("https://klasma.github.io/Logging_0781/klagomål/A 37212-2022 FSC-klagomål.docx", "A 37212-2022")</f>
        <v/>
      </c>
      <c r="AB75">
        <f>HYPERLINK("https://klasma.github.io/Logging_0781/klagomålsmail/A 37212-2022 FSC-klagomål mail.docx", "A 37212-2022")</f>
        <v/>
      </c>
      <c r="AC75">
        <f>HYPERLINK("https://klasma.github.io/Logging_0781/tillsyn/A 37212-2022 tillsynsbegäran.docx", "A 37212-2022")</f>
        <v/>
      </c>
      <c r="AD75">
        <f>HYPERLINK("https://klasma.github.io/Logging_0781/tillsynsmail/A 37212-2022 tillsynsbegäran mail.docx", "A 37212-2022")</f>
        <v/>
      </c>
    </row>
    <row r="76" ht="15" customHeight="1">
      <c r="A76" t="inlineStr">
        <is>
          <t>A 37378-2022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44809</v>
      </c>
      <c r="E76" s="1" t="n">
        <v>46311</v>
      </c>
      <c r="F76" t="inlineStr">
        <is>
          <t>KRONOBERGS LÄN</t>
        </is>
      </c>
      <c r="G76" t="inlineStr">
        <is>
          <t>LJUNGBY</t>
        </is>
      </c>
      <c r="I76" t="n">
        <v>2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Talltita</t>
        </is>
      </c>
      <c r="W76">
        <f>HYPERLINK("https://klasma.github.io/Logging_0781/artfynd/A 37378-2022 artfynd.xlsx", "A 37378-2022")</f>
        <v/>
      </c>
      <c r="X76">
        <f>HYPERLINK("https://klasma.github.io/Logging_0781/kartor/A 37378-2022 karta.png", "A 37378-2022")</f>
        <v/>
      </c>
      <c r="Y76">
        <f>HYPERLINK("https://klasma.github.io/Logging_0781/kartor_geotiff/A 37378-2022 georefererad karta.tif", "A 37378-2022")</f>
        <v/>
      </c>
      <c r="AA76">
        <f>HYPERLINK("https://klasma.github.io/Logging_0781/klagomål/A 37378-2022 FSC-klagomål.docx", "A 37378-2022")</f>
        <v/>
      </c>
      <c r="AB76">
        <f>HYPERLINK("https://klasma.github.io/Logging_0781/klagomålsmail/A 37378-2022 FSC-klagomål mail.docx", "A 37378-2022")</f>
        <v/>
      </c>
      <c r="AC76">
        <f>HYPERLINK("https://klasma.github.io/Logging_0781/tillsyn/A 37378-2022 tillsynsbegäran.docx", "A 37378-2022")</f>
        <v/>
      </c>
      <c r="AD76">
        <f>HYPERLINK("https://klasma.github.io/Logging_0781/tillsynsmail/A 37378-2022 tillsynsbegäran mail.docx", "A 37378-2022")</f>
        <v/>
      </c>
      <c r="AE76">
        <f>HYPERLINK("https://klasma.github.io/Logging_0781/fåglar/A 37378-2022 prioriterade fågelarter.docx", "A 37378-2022")</f>
        <v/>
      </c>
    </row>
    <row r="77" ht="15" customHeight="1">
      <c r="A77" t="inlineStr">
        <is>
          <t>A 3220-2022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44582</v>
      </c>
      <c r="E77" s="1" t="n">
        <v>46311</v>
      </c>
      <c r="F77" t="inlineStr">
        <is>
          <t>KRONOBERGS LÄN</t>
        </is>
      </c>
      <c r="G77" t="inlineStr">
        <is>
          <t>LJUNGBY</t>
        </is>
      </c>
      <c r="I77" t="n">
        <v>0.6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Talltita</t>
        </is>
      </c>
      <c r="W77">
        <f>HYPERLINK("https://klasma.github.io/Logging_0781/artfynd/A 3220-2022 artfynd.xlsx", "A 3220-2022")</f>
        <v/>
      </c>
      <c r="X77">
        <f>HYPERLINK("https://klasma.github.io/Logging_0781/kartor/A 3220-2022 karta.png", "A 3220-2022")</f>
        <v/>
      </c>
      <c r="Y77">
        <f>HYPERLINK("https://klasma.github.io/Logging_0781/kartor_geotiff/A 3220-2022 georefererad karta.tif", "A 3220-2022")</f>
        <v/>
      </c>
      <c r="AA77">
        <f>HYPERLINK("https://klasma.github.io/Logging_0781/klagomål/A 3220-2022 FSC-klagomål.docx", "A 3220-2022")</f>
        <v/>
      </c>
      <c r="AB77">
        <f>HYPERLINK("https://klasma.github.io/Logging_0781/klagomålsmail/A 3220-2022 FSC-klagomål mail.docx", "A 3220-2022")</f>
        <v/>
      </c>
      <c r="AC77">
        <f>HYPERLINK("https://klasma.github.io/Logging_0781/tillsyn/A 3220-2022 tillsynsbegäran.docx", "A 3220-2022")</f>
        <v/>
      </c>
      <c r="AD77">
        <f>HYPERLINK("https://klasma.github.io/Logging_0781/tillsynsmail/A 3220-2022 tillsynsbegäran mail.docx", "A 3220-2022")</f>
        <v/>
      </c>
      <c r="AE77">
        <f>HYPERLINK("https://klasma.github.io/Logging_0781/fåglar/A 3220-2022 prioriterade fågelarter.docx", "A 3220-2022")</f>
        <v/>
      </c>
    </row>
    <row r="78" ht="15" customHeight="1">
      <c r="A78" t="inlineStr">
        <is>
          <t>A 40087-2022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44820</v>
      </c>
      <c r="E78" s="1" t="n">
        <v>46311</v>
      </c>
      <c r="F78" t="inlineStr">
        <is>
          <t>KRONOBERGS LÄN</t>
        </is>
      </c>
      <c r="G78" t="inlineStr">
        <is>
          <t>LJUNGBY</t>
        </is>
      </c>
      <c r="I78" t="n">
        <v>2.2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s="2" t="inlineStr">
        <is>
          <t>Svart skogssnigel</t>
        </is>
      </c>
      <c r="W78">
        <f>HYPERLINK("https://klasma.github.io/Logging_0781/artfynd/A 40087-2022 artfynd.xlsx", "A 40087-2022")</f>
        <v/>
      </c>
      <c r="X78">
        <f>HYPERLINK("https://klasma.github.io/Logging_0781/kartor/A 40087-2022 karta.png", "A 40087-2022")</f>
        <v/>
      </c>
      <c r="Y78">
        <f>HYPERLINK("https://klasma.github.io/Logging_0781/kartor_geotiff/A 40087-2022 georefererad karta.tif", "A 40087-2022")</f>
        <v/>
      </c>
      <c r="AA78">
        <f>HYPERLINK("https://klasma.github.io/Logging_0781/klagomål/A 40087-2022 FSC-klagomål.docx", "A 40087-2022")</f>
        <v/>
      </c>
      <c r="AB78">
        <f>HYPERLINK("https://klasma.github.io/Logging_0781/klagomålsmail/A 40087-2022 FSC-klagomål mail.docx", "A 40087-2022")</f>
        <v/>
      </c>
      <c r="AC78">
        <f>HYPERLINK("https://klasma.github.io/Logging_0781/tillsyn/A 40087-2022 tillsynsbegäran.docx", "A 40087-2022")</f>
        <v/>
      </c>
      <c r="AD78">
        <f>HYPERLINK("https://klasma.github.io/Logging_0781/tillsynsmail/A 40087-2022 tillsynsbegäran mail.docx", "A 40087-2022")</f>
        <v/>
      </c>
    </row>
    <row r="79" ht="15" customHeight="1">
      <c r="A79" t="inlineStr">
        <is>
          <t>A 47242-2022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44852</v>
      </c>
      <c r="E79" s="1" t="n">
        <v>46311</v>
      </c>
      <c r="F79" t="inlineStr">
        <is>
          <t>KRONOBERGS LÄN</t>
        </is>
      </c>
      <c r="G79" t="inlineStr">
        <is>
          <t>LJUNGBY</t>
        </is>
      </c>
      <c r="I79" t="n">
        <v>2.1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Spillkråka</t>
        </is>
      </c>
      <c r="W79">
        <f>HYPERLINK("https://klasma.github.io/Logging_0781/artfynd/A 47242-2022 artfynd.xlsx", "A 47242-2022")</f>
        <v/>
      </c>
      <c r="X79">
        <f>HYPERLINK("https://klasma.github.io/Logging_0781/kartor/A 47242-2022 karta.png", "A 47242-2022")</f>
        <v/>
      </c>
      <c r="Y79">
        <f>HYPERLINK("https://klasma.github.io/Logging_0781/kartor_geotiff/A 47242-2022 georefererad karta.tif", "A 47242-2022")</f>
        <v/>
      </c>
      <c r="AA79">
        <f>HYPERLINK("https://klasma.github.io/Logging_0781/klagomål/A 47242-2022 FSC-klagomål.docx", "A 47242-2022")</f>
        <v/>
      </c>
      <c r="AB79">
        <f>HYPERLINK("https://klasma.github.io/Logging_0781/klagomålsmail/A 47242-2022 FSC-klagomål mail.docx", "A 47242-2022")</f>
        <v/>
      </c>
      <c r="AC79">
        <f>HYPERLINK("https://klasma.github.io/Logging_0781/tillsyn/A 47242-2022 tillsynsbegäran.docx", "A 47242-2022")</f>
        <v/>
      </c>
      <c r="AD79">
        <f>HYPERLINK("https://klasma.github.io/Logging_0781/tillsynsmail/A 47242-2022 tillsynsbegäran mail.docx", "A 47242-2022")</f>
        <v/>
      </c>
      <c r="AE79">
        <f>HYPERLINK("https://klasma.github.io/Logging_0781/fåglar/A 47242-2022 prioriterade fågelarter.docx", "A 47242-2022")</f>
        <v/>
      </c>
    </row>
    <row r="80" ht="15" customHeight="1">
      <c r="A80" t="inlineStr">
        <is>
          <t>A 59681-2022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44908</v>
      </c>
      <c r="E80" s="1" t="n">
        <v>46311</v>
      </c>
      <c r="F80" t="inlineStr">
        <is>
          <t>KRONOBERGS LÄN</t>
        </is>
      </c>
      <c r="G80" t="inlineStr">
        <is>
          <t>LJUNGBY</t>
        </is>
      </c>
      <c r="H80" t="inlineStr">
        <is>
          <t>Sveaskog</t>
        </is>
      </c>
      <c r="I80" t="n">
        <v>2.3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Tjäder</t>
        </is>
      </c>
      <c r="W80">
        <f>HYPERLINK("https://klasma.github.io/Logging_0781/artfynd/A 59681-2022 artfynd.xlsx", "A 59681-2022")</f>
        <v/>
      </c>
      <c r="X80">
        <f>HYPERLINK("https://klasma.github.io/Logging_0781/kartor/A 59681-2022 karta.png", "A 59681-2022")</f>
        <v/>
      </c>
      <c r="Y80">
        <f>HYPERLINK("https://klasma.github.io/Logging_0781/kartor_geotiff/A 59681-2022 georefererad karta.tif", "A 59681-2022")</f>
        <v/>
      </c>
      <c r="AA80">
        <f>HYPERLINK("https://klasma.github.io/Logging_0781/klagomål/A 59681-2022 FSC-klagomål.docx", "A 59681-2022")</f>
        <v/>
      </c>
      <c r="AB80">
        <f>HYPERLINK("https://klasma.github.io/Logging_0781/klagomålsmail/A 59681-2022 FSC-klagomål mail.docx", "A 59681-2022")</f>
        <v/>
      </c>
      <c r="AC80">
        <f>HYPERLINK("https://klasma.github.io/Logging_0781/tillsyn/A 59681-2022 tillsynsbegäran.docx", "A 59681-2022")</f>
        <v/>
      </c>
      <c r="AD80">
        <f>HYPERLINK("https://klasma.github.io/Logging_0781/tillsynsmail/A 59681-2022 tillsynsbegäran mail.docx", "A 59681-2022")</f>
        <v/>
      </c>
      <c r="AE80">
        <f>HYPERLINK("https://klasma.github.io/Logging_0781/fåglar/A 59681-2022 prioriterade fågelarter.docx", "A 59681-2022")</f>
        <v/>
      </c>
    </row>
    <row r="81" ht="15" customHeight="1">
      <c r="A81" t="inlineStr">
        <is>
          <t>A 11508-2024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45372</v>
      </c>
      <c r="E81" s="1" t="n">
        <v>46311</v>
      </c>
      <c r="F81" t="inlineStr">
        <is>
          <t>KRONOBERGS LÄN</t>
        </is>
      </c>
      <c r="G81" t="inlineStr">
        <is>
          <t>LJUNGBY</t>
        </is>
      </c>
      <c r="I81" t="n">
        <v>1.5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Fläcknycklar</t>
        </is>
      </c>
      <c r="W81">
        <f>HYPERLINK("https://klasma.github.io/Logging_0781/artfynd/A 11508-2024 artfynd.xlsx", "A 11508-2024")</f>
        <v/>
      </c>
      <c r="X81">
        <f>HYPERLINK("https://klasma.github.io/Logging_0781/kartor/A 11508-2024 karta.png", "A 11508-2024")</f>
        <v/>
      </c>
      <c r="Y81">
        <f>HYPERLINK("https://klasma.github.io/Logging_0781/kartor_geotiff/A 11508-2024 georefererad karta.tif", "A 11508-2024")</f>
        <v/>
      </c>
      <c r="AA81">
        <f>HYPERLINK("https://klasma.github.io/Logging_0781/klagomål/A 11508-2024 FSC-klagomål.docx", "A 11508-2024")</f>
        <v/>
      </c>
      <c r="AB81">
        <f>HYPERLINK("https://klasma.github.io/Logging_0781/klagomålsmail/A 11508-2024 FSC-klagomål mail.docx", "A 11508-2024")</f>
        <v/>
      </c>
      <c r="AC81">
        <f>HYPERLINK("https://klasma.github.io/Logging_0781/tillsyn/A 11508-2024 tillsynsbegäran.docx", "A 11508-2024")</f>
        <v/>
      </c>
      <c r="AD81">
        <f>HYPERLINK("https://klasma.github.io/Logging_0781/tillsynsmail/A 11508-2024 tillsynsbegäran mail.docx", "A 11508-2024")</f>
        <v/>
      </c>
    </row>
    <row r="82" ht="15" customHeight="1">
      <c r="A82" t="inlineStr">
        <is>
          <t>A 20075-2023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45054</v>
      </c>
      <c r="E82" s="1" t="n">
        <v>46311</v>
      </c>
      <c r="F82" t="inlineStr">
        <is>
          <t>KRONOBERGS LÄN</t>
        </is>
      </c>
      <c r="G82" t="inlineStr">
        <is>
          <t>LJUNGBY</t>
        </is>
      </c>
      <c r="I82" t="n">
        <v>0.9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s="2" t="inlineStr">
        <is>
          <t>Vanlig groda</t>
        </is>
      </c>
      <c r="W82">
        <f>HYPERLINK("https://klasma.github.io/Logging_0781/artfynd/A 20075-2023 artfynd.xlsx", "A 20075-2023")</f>
        <v/>
      </c>
      <c r="X82">
        <f>HYPERLINK("https://klasma.github.io/Logging_0781/kartor/A 20075-2023 karta.png", "A 20075-2023")</f>
        <v/>
      </c>
      <c r="Y82">
        <f>HYPERLINK("https://klasma.github.io/Logging_0781/kartor_geotiff/A 20075-2023 georefererad karta.tif", "A 20075-2023")</f>
        <v/>
      </c>
      <c r="AA82">
        <f>HYPERLINK("https://klasma.github.io/Logging_0781/klagomål/A 20075-2023 FSC-klagomål.docx", "A 20075-2023")</f>
        <v/>
      </c>
      <c r="AB82">
        <f>HYPERLINK("https://klasma.github.io/Logging_0781/klagomålsmail/A 20075-2023 FSC-klagomål mail.docx", "A 20075-2023")</f>
        <v/>
      </c>
      <c r="AC82">
        <f>HYPERLINK("https://klasma.github.io/Logging_0781/tillsyn/A 20075-2023 tillsynsbegäran.docx", "A 20075-2023")</f>
        <v/>
      </c>
      <c r="AD82">
        <f>HYPERLINK("https://klasma.github.io/Logging_0781/tillsynsmail/A 20075-2023 tillsynsbegäran mail.docx", "A 20075-2023")</f>
        <v/>
      </c>
    </row>
    <row r="83" ht="15" customHeight="1">
      <c r="A83" t="inlineStr">
        <is>
          <t>A 49077-2024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45594</v>
      </c>
      <c r="E83" s="1" t="n">
        <v>46311</v>
      </c>
      <c r="F83" t="inlineStr">
        <is>
          <t>KRONOBERGS LÄN</t>
        </is>
      </c>
      <c r="G83" t="inlineStr">
        <is>
          <t>LJUNGBY</t>
        </is>
      </c>
      <c r="I83" t="n">
        <v>1.7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s="2" t="inlineStr">
        <is>
          <t>Gröngöling</t>
        </is>
      </c>
      <c r="W83">
        <f>HYPERLINK("https://klasma.github.io/Logging_0781/artfynd/A 49077-2024 artfynd.xlsx", "A 49077-2024")</f>
        <v/>
      </c>
      <c r="X83">
        <f>HYPERLINK("https://klasma.github.io/Logging_0781/kartor/A 49077-2024 karta.png", "A 49077-2024")</f>
        <v/>
      </c>
      <c r="Y83">
        <f>HYPERLINK("https://klasma.github.io/Logging_0781/kartor_geotiff/A 49077-2024 georefererad karta.tif", "A 49077-2024")</f>
        <v/>
      </c>
      <c r="AA83">
        <f>HYPERLINK("https://klasma.github.io/Logging_0781/klagomål/A 49077-2024 FSC-klagomål.docx", "A 49077-2024")</f>
        <v/>
      </c>
      <c r="AB83">
        <f>HYPERLINK("https://klasma.github.io/Logging_0781/klagomålsmail/A 49077-2024 FSC-klagomål mail.docx", "A 49077-2024")</f>
        <v/>
      </c>
      <c r="AC83">
        <f>HYPERLINK("https://klasma.github.io/Logging_0781/tillsyn/A 49077-2024 tillsynsbegäran.docx", "A 49077-2024")</f>
        <v/>
      </c>
      <c r="AD83">
        <f>HYPERLINK("https://klasma.github.io/Logging_0781/tillsynsmail/A 49077-2024 tillsynsbegäran mail.docx", "A 49077-2024")</f>
        <v/>
      </c>
    </row>
    <row r="84" ht="15" customHeight="1">
      <c r="A84" t="inlineStr">
        <is>
          <t>A 30862-2025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45832</v>
      </c>
      <c r="E84" s="1" t="n">
        <v>46311</v>
      </c>
      <c r="F84" t="inlineStr">
        <is>
          <t>KRONOBERGS LÄN</t>
        </is>
      </c>
      <c r="G84" t="inlineStr">
        <is>
          <t>LJUNGBY</t>
        </is>
      </c>
      <c r="I84" t="n">
        <v>13.7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s="2" t="inlineStr">
        <is>
          <t>Slåttergubbe</t>
        </is>
      </c>
      <c r="W84">
        <f>HYPERLINK("https://klasma.github.io/Logging_0781/artfynd/A 30862-2025 artfynd.xlsx", "A 30862-2025")</f>
        <v/>
      </c>
      <c r="X84">
        <f>HYPERLINK("https://klasma.github.io/Logging_0781/kartor/A 30862-2025 karta.png", "A 30862-2025")</f>
        <v/>
      </c>
      <c r="Y84">
        <f>HYPERLINK("https://klasma.github.io/Logging_0781/kartor_geotiff/A 30862-2025 georefererad karta.tif", "A 30862-2025")</f>
        <v/>
      </c>
      <c r="AA84">
        <f>HYPERLINK("https://klasma.github.io/Logging_0781/klagomål/A 30862-2025 FSC-klagomål.docx", "A 30862-2025")</f>
        <v/>
      </c>
      <c r="AB84">
        <f>HYPERLINK("https://klasma.github.io/Logging_0781/klagomålsmail/A 30862-2025 FSC-klagomål mail.docx", "A 30862-2025")</f>
        <v/>
      </c>
      <c r="AC84">
        <f>HYPERLINK("https://klasma.github.io/Logging_0781/tillsyn/A 30862-2025 tillsynsbegäran.docx", "A 30862-2025")</f>
        <v/>
      </c>
      <c r="AD84">
        <f>HYPERLINK("https://klasma.github.io/Logging_0781/tillsynsmail/A 30862-2025 tillsynsbegäran mail.docx", "A 30862-2025")</f>
        <v/>
      </c>
    </row>
    <row r="85" ht="15" customHeight="1">
      <c r="A85" t="inlineStr">
        <is>
          <t>A 31604-2025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45833</v>
      </c>
      <c r="E85" s="1" t="n">
        <v>46311</v>
      </c>
      <c r="F85" t="inlineStr">
        <is>
          <t>KRONOBERGS LÄN</t>
        </is>
      </c>
      <c r="G85" t="inlineStr">
        <is>
          <t>LJUNGBY</t>
        </is>
      </c>
      <c r="I85" t="n">
        <v>1.5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Borsttåg</t>
        </is>
      </c>
      <c r="W85">
        <f>HYPERLINK("https://klasma.github.io/Logging_0781/artfynd/A 31604-2025 artfynd.xlsx", "A 31604-2025")</f>
        <v/>
      </c>
      <c r="X85">
        <f>HYPERLINK("https://klasma.github.io/Logging_0781/kartor/A 31604-2025 karta.png", "A 31604-2025")</f>
        <v/>
      </c>
      <c r="Y85">
        <f>HYPERLINK("https://klasma.github.io/Logging_0781/kartor_geotiff/A 31604-2025 georefererad karta.tif", "A 31604-2025")</f>
        <v/>
      </c>
      <c r="AA85">
        <f>HYPERLINK("https://klasma.github.io/Logging_0781/klagomål/A 31604-2025 FSC-klagomål.docx", "A 31604-2025")</f>
        <v/>
      </c>
      <c r="AB85">
        <f>HYPERLINK("https://klasma.github.io/Logging_0781/klagomålsmail/A 31604-2025 FSC-klagomål mail.docx", "A 31604-2025")</f>
        <v/>
      </c>
      <c r="AC85">
        <f>HYPERLINK("https://klasma.github.io/Logging_0781/tillsyn/A 31604-2025 tillsynsbegäran.docx", "A 31604-2025")</f>
        <v/>
      </c>
      <c r="AD85">
        <f>HYPERLINK("https://klasma.github.io/Logging_0781/tillsynsmail/A 31604-2025 tillsynsbegäran mail.docx", "A 31604-2025")</f>
        <v/>
      </c>
    </row>
    <row r="86" ht="15" customHeight="1">
      <c r="A86" t="inlineStr">
        <is>
          <t>A 21039-2023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45061</v>
      </c>
      <c r="E86" s="1" t="n">
        <v>46311</v>
      </c>
      <c r="F86" t="inlineStr">
        <is>
          <t>KRONOBERGS LÄN</t>
        </is>
      </c>
      <c r="G86" t="inlineStr">
        <is>
          <t>LJUNGBY</t>
        </is>
      </c>
      <c r="I86" t="n">
        <v>4.3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Fläcknycklar</t>
        </is>
      </c>
      <c r="W86">
        <f>HYPERLINK("https://klasma.github.io/Logging_0781/artfynd/A 21039-2023 artfynd.xlsx", "A 21039-2023")</f>
        <v/>
      </c>
      <c r="X86">
        <f>HYPERLINK("https://klasma.github.io/Logging_0781/kartor/A 21039-2023 karta.png", "A 21039-2023")</f>
        <v/>
      </c>
      <c r="Y86">
        <f>HYPERLINK("https://klasma.github.io/Logging_0781/kartor_geotiff/A 21039-2023 georefererad karta.tif", "A 21039-2023")</f>
        <v/>
      </c>
      <c r="AA86">
        <f>HYPERLINK("https://klasma.github.io/Logging_0781/klagomål/A 21039-2023 FSC-klagomål.docx", "A 21039-2023")</f>
        <v/>
      </c>
      <c r="AB86">
        <f>HYPERLINK("https://klasma.github.io/Logging_0781/klagomålsmail/A 21039-2023 FSC-klagomål mail.docx", "A 21039-2023")</f>
        <v/>
      </c>
      <c r="AC86">
        <f>HYPERLINK("https://klasma.github.io/Logging_0781/tillsyn/A 21039-2023 tillsynsbegäran.docx", "A 21039-2023")</f>
        <v/>
      </c>
      <c r="AD86">
        <f>HYPERLINK("https://klasma.github.io/Logging_0781/tillsynsmail/A 21039-2023 tillsynsbegäran mail.docx", "A 21039-2023")</f>
        <v/>
      </c>
    </row>
    <row r="87" ht="15" customHeight="1">
      <c r="A87" t="inlineStr">
        <is>
          <t>A 4467-2025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45686</v>
      </c>
      <c r="E87" s="1" t="n">
        <v>46311</v>
      </c>
      <c r="F87" t="inlineStr">
        <is>
          <t>KRONOBERGS LÄN</t>
        </is>
      </c>
      <c r="G87" t="inlineStr">
        <is>
          <t>LJUNGBY</t>
        </is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Älg</t>
        </is>
      </c>
      <c r="W87">
        <f>HYPERLINK("https://klasma.github.io/Logging_0781/artfynd/A 4467-2025 artfynd.xlsx", "A 4467-2025")</f>
        <v/>
      </c>
      <c r="X87">
        <f>HYPERLINK("https://klasma.github.io/Logging_0781/kartor/A 4467-2025 karta.png", "A 4467-2025")</f>
        <v/>
      </c>
      <c r="Y87">
        <f>HYPERLINK("https://klasma.github.io/Logging_0781/kartor_geotiff/A 4467-2025 georefererad karta.tif", "A 4467-2025")</f>
        <v/>
      </c>
      <c r="AA87">
        <f>HYPERLINK("https://klasma.github.io/Logging_0781/klagomål/A 4467-2025 FSC-klagomål.docx", "A 4467-2025")</f>
        <v/>
      </c>
      <c r="AB87">
        <f>HYPERLINK("https://klasma.github.io/Logging_0781/klagomålsmail/A 4467-2025 FSC-klagomål mail.docx", "A 4467-2025")</f>
        <v/>
      </c>
      <c r="AC87">
        <f>HYPERLINK("https://klasma.github.io/Logging_0781/tillsyn/A 4467-2025 tillsynsbegäran.docx", "A 4467-2025")</f>
        <v/>
      </c>
      <c r="AD87">
        <f>HYPERLINK("https://klasma.github.io/Logging_0781/tillsynsmail/A 4467-2025 tillsynsbegäran mail.docx", "A 4467-2025")</f>
        <v/>
      </c>
    </row>
    <row r="88" ht="15" customHeight="1">
      <c r="A88" t="inlineStr">
        <is>
          <t>A 62026-2023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45266</v>
      </c>
      <c r="E88" s="1" t="n">
        <v>46311</v>
      </c>
      <c r="F88" t="inlineStr">
        <is>
          <t>KRONOBERGS LÄN</t>
        </is>
      </c>
      <c r="G88" t="inlineStr">
        <is>
          <t>LJUNGBY</t>
        </is>
      </c>
      <c r="I88" t="n">
        <v>3.9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Tjäder</t>
        </is>
      </c>
      <c r="W88">
        <f>HYPERLINK("https://klasma.github.io/Logging_0781/artfynd/A 62026-2023 artfynd.xlsx", "A 62026-2023")</f>
        <v/>
      </c>
      <c r="X88">
        <f>HYPERLINK("https://klasma.github.io/Logging_0781/kartor/A 62026-2023 karta.png", "A 62026-2023")</f>
        <v/>
      </c>
      <c r="Y88">
        <f>HYPERLINK("https://klasma.github.io/Logging_0781/kartor_geotiff/A 62026-2023 georefererad karta.tif", "A 62026-2023")</f>
        <v/>
      </c>
      <c r="AA88">
        <f>HYPERLINK("https://klasma.github.io/Logging_0781/klagomål/A 62026-2023 FSC-klagomål.docx", "A 62026-2023")</f>
        <v/>
      </c>
      <c r="AB88">
        <f>HYPERLINK("https://klasma.github.io/Logging_0781/klagomålsmail/A 62026-2023 FSC-klagomål mail.docx", "A 62026-2023")</f>
        <v/>
      </c>
      <c r="AC88">
        <f>HYPERLINK("https://klasma.github.io/Logging_0781/tillsyn/A 62026-2023 tillsynsbegäran.docx", "A 62026-2023")</f>
        <v/>
      </c>
      <c r="AD88">
        <f>HYPERLINK("https://klasma.github.io/Logging_0781/tillsynsmail/A 62026-2023 tillsynsbegäran mail.docx", "A 62026-2023")</f>
        <v/>
      </c>
      <c r="AE88">
        <f>HYPERLINK("https://klasma.github.io/Logging_0781/fåglar/A 62026-2023 prioriterade fågelarter.docx", "A 62026-2023")</f>
        <v/>
      </c>
    </row>
    <row r="89" ht="15" customHeight="1">
      <c r="A89" t="inlineStr">
        <is>
          <t>A 36514-2025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45869</v>
      </c>
      <c r="E89" s="1" t="n">
        <v>46311</v>
      </c>
      <c r="F89" t="inlineStr">
        <is>
          <t>KRONOBERGS LÄN</t>
        </is>
      </c>
      <c r="G89" t="inlineStr">
        <is>
          <t>LJUNGBY</t>
        </is>
      </c>
      <c r="H89" t="inlineStr">
        <is>
          <t>Kyrkan</t>
        </is>
      </c>
      <c r="I89" t="n">
        <v>6.2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3</v>
      </c>
      <c r="U89" t="n">
        <v>3</v>
      </c>
      <c r="V89" s="2" t="inlineStr">
        <is>
          <t>Kambräken</t>
        </is>
      </c>
      <c r="W89">
        <f>HYPERLINK("https://klasma.github.io/Logging_0781/artfynd/A 36514-2025 artfynd.xlsx", "A 36514-2025")</f>
        <v/>
      </c>
      <c r="X89">
        <f>HYPERLINK("https://klasma.github.io/Logging_0781/kartor/A 36514-2025 karta.png", "A 36514-2025")</f>
        <v/>
      </c>
      <c r="Y89">
        <f>HYPERLINK("https://klasma.github.io/Logging_0781/kartor_geotiff/A 36514-2025 georefererad karta.tif", "A 36514-2025")</f>
        <v/>
      </c>
      <c r="AA89">
        <f>HYPERLINK("https://klasma.github.io/Logging_0781/klagomål/A 36514-2025 FSC-klagomål.docx", "A 36514-2025")</f>
        <v/>
      </c>
      <c r="AB89">
        <f>HYPERLINK("https://klasma.github.io/Logging_0781/klagomålsmail/A 36514-2025 FSC-klagomål mail.docx", "A 36514-2025")</f>
        <v/>
      </c>
      <c r="AC89">
        <f>HYPERLINK("https://klasma.github.io/Logging_0781/tillsyn/A 36514-2025 tillsynsbegäran.docx", "A 36514-2025")</f>
        <v/>
      </c>
      <c r="AD89">
        <f>HYPERLINK("https://klasma.github.io/Logging_0781/tillsynsmail/A 36514-2025 tillsynsbegäran mail.docx", "A 36514-2025")</f>
        <v/>
      </c>
    </row>
    <row r="90" ht="15" customHeight="1">
      <c r="A90" t="inlineStr">
        <is>
          <t>A 63304-2023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45274</v>
      </c>
      <c r="E90" s="1" t="n">
        <v>46311</v>
      </c>
      <c r="F90" t="inlineStr">
        <is>
          <t>KRONOBERGS LÄN</t>
        </is>
      </c>
      <c r="G90" t="inlineStr">
        <is>
          <t>LJUNGBY</t>
        </is>
      </c>
      <c r="I90" t="n">
        <v>0.7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s="2" t="inlineStr">
        <is>
          <t>Borsttåg</t>
        </is>
      </c>
      <c r="W90">
        <f>HYPERLINK("https://klasma.github.io/Logging_0781/artfynd/A 63304-2023 artfynd.xlsx", "A 63304-2023")</f>
        <v/>
      </c>
      <c r="X90">
        <f>HYPERLINK("https://klasma.github.io/Logging_0781/kartor/A 63304-2023 karta.png", "A 63304-2023")</f>
        <v/>
      </c>
      <c r="Y90">
        <f>HYPERLINK("https://klasma.github.io/Logging_0781/kartor_geotiff/A 63304-2023 georefererad karta.tif", "A 63304-2023")</f>
        <v/>
      </c>
      <c r="AA90">
        <f>HYPERLINK("https://klasma.github.io/Logging_0781/klagomål/A 63304-2023 FSC-klagomål.docx", "A 63304-2023")</f>
        <v/>
      </c>
      <c r="AB90">
        <f>HYPERLINK("https://klasma.github.io/Logging_0781/klagomålsmail/A 63304-2023 FSC-klagomål mail.docx", "A 63304-2023")</f>
        <v/>
      </c>
      <c r="AC90">
        <f>HYPERLINK("https://klasma.github.io/Logging_0781/tillsyn/A 63304-2023 tillsynsbegäran.docx", "A 63304-2023")</f>
        <v/>
      </c>
      <c r="AD90">
        <f>HYPERLINK("https://klasma.github.io/Logging_0781/tillsynsmail/A 63304-2023 tillsynsbegäran mail.docx", "A 63304-2023")</f>
        <v/>
      </c>
    </row>
    <row r="91" ht="15" customHeight="1">
      <c r="A91" t="inlineStr">
        <is>
          <t>A 56832-2022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44894</v>
      </c>
      <c r="E91" s="1" t="n">
        <v>46311</v>
      </c>
      <c r="F91" t="inlineStr">
        <is>
          <t>KRONOBERGS LÄN</t>
        </is>
      </c>
      <c r="G91" t="inlineStr">
        <is>
          <t>LJUNGBY</t>
        </is>
      </c>
      <c r="I91" t="n">
        <v>1.5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2</v>
      </c>
      <c r="U91" t="n">
        <v>2</v>
      </c>
      <c r="V91" s="2" t="inlineStr">
        <is>
          <t>Svinrot</t>
        </is>
      </c>
      <c r="W91">
        <f>HYPERLINK("https://klasma.github.io/Logging_0781/artfynd/A 56832-2022 artfynd.xlsx", "A 56832-2022")</f>
        <v/>
      </c>
      <c r="X91">
        <f>HYPERLINK("https://klasma.github.io/Logging_0781/kartor/A 56832-2022 karta.png", "A 56832-2022")</f>
        <v/>
      </c>
      <c r="Y91">
        <f>HYPERLINK("https://klasma.github.io/Logging_0781/kartor_geotiff/A 56832-2022 georefererad karta.tif", "A 56832-2022")</f>
        <v/>
      </c>
      <c r="AA91">
        <f>HYPERLINK("https://klasma.github.io/Logging_0781/klagomål/A 56832-2022 FSC-klagomål.docx", "A 56832-2022")</f>
        <v/>
      </c>
      <c r="AB91">
        <f>HYPERLINK("https://klasma.github.io/Logging_0781/klagomålsmail/A 56832-2022 FSC-klagomål mail.docx", "A 56832-2022")</f>
        <v/>
      </c>
      <c r="AC91">
        <f>HYPERLINK("https://klasma.github.io/Logging_0781/tillsyn/A 56832-2022 tillsynsbegäran.docx", "A 56832-2022")</f>
        <v/>
      </c>
      <c r="AD91">
        <f>HYPERLINK("https://klasma.github.io/Logging_0781/tillsynsmail/A 56832-2022 tillsynsbegäran mail.docx", "A 56832-2022")</f>
        <v/>
      </c>
    </row>
    <row r="92" ht="15" customHeight="1">
      <c r="A92" t="inlineStr">
        <is>
          <t>A 37188-2025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45875</v>
      </c>
      <c r="E92" s="1" t="n">
        <v>46311</v>
      </c>
      <c r="F92" t="inlineStr">
        <is>
          <t>KRONOBERGS LÄN</t>
        </is>
      </c>
      <c r="G92" t="inlineStr">
        <is>
          <t>LJUNGBY</t>
        </is>
      </c>
      <c r="I92" t="n">
        <v>0.4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3</v>
      </c>
      <c r="U92" t="n">
        <v>0</v>
      </c>
      <c r="V92" s="2" t="inlineStr">
        <is>
          <t>Gullpudra</t>
        </is>
      </c>
      <c r="W92">
        <f>HYPERLINK("https://klasma.github.io/Logging_0781/artfynd/A 37188-2025 artfynd.xlsx", "A 37188-2025")</f>
        <v/>
      </c>
      <c r="X92">
        <f>HYPERLINK("https://klasma.github.io/Logging_0781/kartor/A 37188-2025 karta.png", "A 37188-2025")</f>
        <v/>
      </c>
      <c r="Y92">
        <f>HYPERLINK("https://klasma.github.io/Logging_0781/kartor_geotiff/A 37188-2025 georefererad karta.tif", "A 37188-2025")</f>
        <v/>
      </c>
      <c r="AA92">
        <f>HYPERLINK("https://klasma.github.io/Logging_0781/klagomål/A 37188-2025 FSC-klagomål.docx", "A 37188-2025")</f>
        <v/>
      </c>
      <c r="AB92">
        <f>HYPERLINK("https://klasma.github.io/Logging_0781/klagomålsmail/A 37188-2025 FSC-klagomål mail.docx", "A 37188-2025")</f>
        <v/>
      </c>
      <c r="AC92">
        <f>HYPERLINK("https://klasma.github.io/Logging_0781/tillsyn/A 37188-2025 tillsynsbegäran.docx", "A 37188-2025")</f>
        <v/>
      </c>
      <c r="AD92">
        <f>HYPERLINK("https://klasma.github.io/Logging_0781/tillsynsmail/A 37188-2025 tillsynsbegäran mail.docx", "A 37188-2025")</f>
        <v/>
      </c>
    </row>
    <row r="93" ht="15" customHeight="1">
      <c r="A93" t="inlineStr">
        <is>
          <t>A 9911-2023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44985</v>
      </c>
      <c r="E93" s="1" t="n">
        <v>46311</v>
      </c>
      <c r="F93" t="inlineStr">
        <is>
          <t>KRONOBERGS LÄN</t>
        </is>
      </c>
      <c r="G93" t="inlineStr">
        <is>
          <t>LJUNGBY</t>
        </is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s="2" t="inlineStr">
        <is>
          <t>Spindelblomster</t>
        </is>
      </c>
      <c r="W93">
        <f>HYPERLINK("https://klasma.github.io/Logging_0781/artfynd/A 9911-2023 artfynd.xlsx", "A 9911-2023")</f>
        <v/>
      </c>
      <c r="X93">
        <f>HYPERLINK("https://klasma.github.io/Logging_0781/kartor/A 9911-2023 karta.png", "A 9911-2023")</f>
        <v/>
      </c>
      <c r="Y93">
        <f>HYPERLINK("https://klasma.github.io/Logging_0781/kartor_geotiff/A 9911-2023 georefererad karta.tif", "A 9911-2023")</f>
        <v/>
      </c>
      <c r="AA93">
        <f>HYPERLINK("https://klasma.github.io/Logging_0781/klagomål/A 9911-2023 FSC-klagomål.docx", "A 9911-2023")</f>
        <v/>
      </c>
      <c r="AB93">
        <f>HYPERLINK("https://klasma.github.io/Logging_0781/klagomålsmail/A 9911-2023 FSC-klagomål mail.docx", "A 9911-2023")</f>
        <v/>
      </c>
      <c r="AC93">
        <f>HYPERLINK("https://klasma.github.io/Logging_0781/tillsyn/A 9911-2023 tillsynsbegäran.docx", "A 9911-2023")</f>
        <v/>
      </c>
      <c r="AD93">
        <f>HYPERLINK("https://klasma.github.io/Logging_0781/tillsynsmail/A 9911-2023 tillsynsbegäran mail.docx", "A 9911-2023")</f>
        <v/>
      </c>
    </row>
    <row r="94" ht="15" customHeight="1">
      <c r="A94" t="inlineStr">
        <is>
          <t>A 54602-2024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45617</v>
      </c>
      <c r="E94" s="1" t="n">
        <v>46311</v>
      </c>
      <c r="F94" t="inlineStr">
        <is>
          <t>KRONOBERGS LÄN</t>
        </is>
      </c>
      <c r="G94" t="inlineStr">
        <is>
          <t>LJUNGBY</t>
        </is>
      </c>
      <c r="I94" t="n">
        <v>1.5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Fällmossa</t>
        </is>
      </c>
      <c r="W94">
        <f>HYPERLINK("https://klasma.github.io/Logging_0781/artfynd/A 54602-2024 artfynd.xlsx", "A 54602-2024")</f>
        <v/>
      </c>
      <c r="X94">
        <f>HYPERLINK("https://klasma.github.io/Logging_0781/kartor/A 54602-2024 karta.png", "A 54602-2024")</f>
        <v/>
      </c>
      <c r="Y94">
        <f>HYPERLINK("https://klasma.github.io/Logging_0781/kartor_geotiff/A 54602-2024 georefererad karta.tif", "A 54602-2024")</f>
        <v/>
      </c>
      <c r="AA94">
        <f>HYPERLINK("https://klasma.github.io/Logging_0781/klagomål/A 54602-2024 FSC-klagomål.docx", "A 54602-2024")</f>
        <v/>
      </c>
      <c r="AB94">
        <f>HYPERLINK("https://klasma.github.io/Logging_0781/klagomålsmail/A 54602-2024 FSC-klagomål mail.docx", "A 54602-2024")</f>
        <v/>
      </c>
      <c r="AC94">
        <f>HYPERLINK("https://klasma.github.io/Logging_0781/tillsyn/A 54602-2024 tillsynsbegäran.docx", "A 54602-2024")</f>
        <v/>
      </c>
      <c r="AD94">
        <f>HYPERLINK("https://klasma.github.io/Logging_0781/tillsynsmail/A 54602-2024 tillsynsbegäran mail.docx", "A 54602-2024")</f>
        <v/>
      </c>
    </row>
    <row r="95" ht="15" customHeight="1">
      <c r="A95" t="inlineStr">
        <is>
          <t>A 205-2023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44928</v>
      </c>
      <c r="E95" s="1" t="n">
        <v>46311</v>
      </c>
      <c r="F95" t="inlineStr">
        <is>
          <t>KRONOBERGS LÄN</t>
        </is>
      </c>
      <c r="G95" t="inlineStr">
        <is>
          <t>LJUNGBY</t>
        </is>
      </c>
      <c r="I95" t="n">
        <v>1.9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s="2" t="inlineStr">
        <is>
          <t>Borsttåg</t>
        </is>
      </c>
      <c r="W95">
        <f>HYPERLINK("https://klasma.github.io/Logging_0781/artfynd/A 205-2023 artfynd.xlsx", "A 205-2023")</f>
        <v/>
      </c>
      <c r="X95">
        <f>HYPERLINK("https://klasma.github.io/Logging_0781/kartor/A 205-2023 karta.png", "A 205-2023")</f>
        <v/>
      </c>
      <c r="Y95">
        <f>HYPERLINK("https://klasma.github.io/Logging_0781/kartor_geotiff/A 205-2023 georefererad karta.tif", "A 205-2023")</f>
        <v/>
      </c>
      <c r="AA95">
        <f>HYPERLINK("https://klasma.github.io/Logging_0781/klagomål/A 205-2023 FSC-klagomål.docx", "A 205-2023")</f>
        <v/>
      </c>
      <c r="AB95">
        <f>HYPERLINK("https://klasma.github.io/Logging_0781/klagomålsmail/A 205-2023 FSC-klagomål mail.docx", "A 205-2023")</f>
        <v/>
      </c>
      <c r="AC95">
        <f>HYPERLINK("https://klasma.github.io/Logging_0781/tillsyn/A 205-2023 tillsynsbegäran.docx", "A 205-2023")</f>
        <v/>
      </c>
      <c r="AD95">
        <f>HYPERLINK("https://klasma.github.io/Logging_0781/tillsynsmail/A 205-2023 tillsynsbegäran mail.docx", "A 205-2023")</f>
        <v/>
      </c>
    </row>
    <row r="96" ht="15" customHeight="1">
      <c r="A96" t="inlineStr">
        <is>
          <t>A 40560-2024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45555</v>
      </c>
      <c r="E96" s="1" t="n">
        <v>46311</v>
      </c>
      <c r="F96" t="inlineStr">
        <is>
          <t>KRONOBERGS LÄN</t>
        </is>
      </c>
      <c r="G96" t="inlineStr">
        <is>
          <t>LJUNGBY</t>
        </is>
      </c>
      <c r="I96" t="n">
        <v>3.4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Talltita</t>
        </is>
      </c>
      <c r="W96">
        <f>HYPERLINK("https://klasma.github.io/Logging_0781/artfynd/A 40560-2024 artfynd.xlsx", "A 40560-2024")</f>
        <v/>
      </c>
      <c r="X96">
        <f>HYPERLINK("https://klasma.github.io/Logging_0781/kartor/A 40560-2024 karta.png", "A 40560-2024")</f>
        <v/>
      </c>
      <c r="Y96">
        <f>HYPERLINK("https://klasma.github.io/Logging_0781/kartor_geotiff/A 40560-2024 georefererad karta.tif", "A 40560-2024")</f>
        <v/>
      </c>
      <c r="AA96">
        <f>HYPERLINK("https://klasma.github.io/Logging_0781/klagomål/A 40560-2024 FSC-klagomål.docx", "A 40560-2024")</f>
        <v/>
      </c>
      <c r="AB96">
        <f>HYPERLINK("https://klasma.github.io/Logging_0781/klagomålsmail/A 40560-2024 FSC-klagomål mail.docx", "A 40560-2024")</f>
        <v/>
      </c>
      <c r="AC96">
        <f>HYPERLINK("https://klasma.github.io/Logging_0781/tillsyn/A 40560-2024 tillsynsbegäran.docx", "A 40560-2024")</f>
        <v/>
      </c>
      <c r="AD96">
        <f>HYPERLINK("https://klasma.github.io/Logging_0781/tillsynsmail/A 40560-2024 tillsynsbegäran mail.docx", "A 40560-2024")</f>
        <v/>
      </c>
      <c r="AE96">
        <f>HYPERLINK("https://klasma.github.io/Logging_0781/fåglar/A 40560-2024 prioriterade fågelarter.docx", "A 40560-2024")</f>
        <v/>
      </c>
    </row>
    <row r="97" ht="15" customHeight="1">
      <c r="A97" t="inlineStr">
        <is>
          <t>A 15671-2026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46106</v>
      </c>
      <c r="E97" s="1" t="n">
        <v>46311</v>
      </c>
      <c r="F97" t="inlineStr">
        <is>
          <t>KRONOBERGS LÄN</t>
        </is>
      </c>
      <c r="G97" t="inlineStr">
        <is>
          <t>LJUNGBY</t>
        </is>
      </c>
      <c r="I97" t="n">
        <v>3.4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s="2" t="inlineStr">
        <is>
          <t>Tofsmes</t>
        </is>
      </c>
      <c r="W97">
        <f>HYPERLINK("https://klasma.github.io/Logging_0781/artfynd/A 15671-2026 artfynd.xlsx", "A 15671-2026")</f>
        <v/>
      </c>
      <c r="X97">
        <f>HYPERLINK("https://klasma.github.io/Logging_0781/kartor/A 15671-2026 karta.png", "A 15671-2026")</f>
        <v/>
      </c>
      <c r="Y97">
        <f>HYPERLINK("https://klasma.github.io/Logging_0781/kartor_geotiff/A 15671-2026 georefererad karta.tif", "A 15671-2026")</f>
        <v/>
      </c>
      <c r="AA97">
        <f>HYPERLINK("https://klasma.github.io/Logging_0781/klagomål/A 15671-2026 FSC-klagomål.docx", "A 15671-2026")</f>
        <v/>
      </c>
      <c r="AB97">
        <f>HYPERLINK("https://klasma.github.io/Logging_0781/klagomålsmail/A 15671-2026 FSC-klagomål mail.docx", "A 15671-2026")</f>
        <v/>
      </c>
      <c r="AC97">
        <f>HYPERLINK("https://klasma.github.io/Logging_0781/tillsyn/A 15671-2026 tillsynsbegäran.docx", "A 15671-2026")</f>
        <v/>
      </c>
      <c r="AD97">
        <f>HYPERLINK("https://klasma.github.io/Logging_0781/tillsynsmail/A 15671-2026 tillsynsbegäran mail.docx", "A 15671-2026")</f>
        <v/>
      </c>
    </row>
    <row r="98" ht="15" customHeight="1">
      <c r="A98" t="inlineStr">
        <is>
          <t>A 42054-2024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45561</v>
      </c>
      <c r="E98" s="1" t="n">
        <v>46311</v>
      </c>
      <c r="F98" t="inlineStr">
        <is>
          <t>KRONOBERGS LÄN</t>
        </is>
      </c>
      <c r="G98" t="inlineStr">
        <is>
          <t>LJUNGBY</t>
        </is>
      </c>
      <c r="I98" t="n">
        <v>2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Mattlummer</t>
        </is>
      </c>
      <c r="W98">
        <f>HYPERLINK("https://klasma.github.io/Logging_0781/artfynd/A 42054-2024 artfynd.xlsx", "A 42054-2024")</f>
        <v/>
      </c>
      <c r="X98">
        <f>HYPERLINK("https://klasma.github.io/Logging_0781/kartor/A 42054-2024 karta.png", "A 42054-2024")</f>
        <v/>
      </c>
      <c r="Y98">
        <f>HYPERLINK("https://klasma.github.io/Logging_0781/kartor_geotiff/A 42054-2024 georefererad karta.tif", "A 42054-2024")</f>
        <v/>
      </c>
      <c r="AA98">
        <f>HYPERLINK("https://klasma.github.io/Logging_0781/klagomål/A 42054-2024 FSC-klagomål.docx", "A 42054-2024")</f>
        <v/>
      </c>
      <c r="AB98">
        <f>HYPERLINK("https://klasma.github.io/Logging_0781/klagomålsmail/A 42054-2024 FSC-klagomål mail.docx", "A 42054-2024")</f>
        <v/>
      </c>
      <c r="AC98">
        <f>HYPERLINK("https://klasma.github.io/Logging_0781/tillsyn/A 42054-2024 tillsynsbegäran.docx", "A 42054-2024")</f>
        <v/>
      </c>
      <c r="AD98">
        <f>HYPERLINK("https://klasma.github.io/Logging_0781/tillsynsmail/A 42054-2024 tillsynsbegäran mail.docx", "A 42054-2024")</f>
        <v/>
      </c>
    </row>
    <row r="99" ht="15" customHeight="1">
      <c r="A99" t="inlineStr">
        <is>
          <t>A 32047-2024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45510</v>
      </c>
      <c r="E99" s="1" t="n">
        <v>46311</v>
      </c>
      <c r="F99" t="inlineStr">
        <is>
          <t>KRONOBERGS LÄN</t>
        </is>
      </c>
      <c r="G99" t="inlineStr">
        <is>
          <t>LJUNGBY</t>
        </is>
      </c>
      <c r="I99" t="n">
        <v>1.9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s="2" t="inlineStr">
        <is>
          <t>Knärot</t>
        </is>
      </c>
      <c r="W99">
        <f>HYPERLINK("https://klasma.github.io/Logging_0781/artfynd/A 32047-2024 artfynd.xlsx", "A 32047-2024")</f>
        <v/>
      </c>
      <c r="X99">
        <f>HYPERLINK("https://klasma.github.io/Logging_0781/kartor/A 32047-2024 karta.png", "A 32047-2024")</f>
        <v/>
      </c>
      <c r="Y99">
        <f>HYPERLINK("https://klasma.github.io/Logging_0781/kartor_geotiff/A 32047-2024 georefererad karta.tif", "A 32047-2024")</f>
        <v/>
      </c>
      <c r="Z99">
        <f>HYPERLINK("https://klasma.github.io/Logging_0781/knärot/A 32047-2024 karta knärot.png", "A 32047-2024")</f>
        <v/>
      </c>
      <c r="AA99">
        <f>HYPERLINK("https://klasma.github.io/Logging_0781/klagomål/A 32047-2024 FSC-klagomål.docx", "A 32047-2024")</f>
        <v/>
      </c>
      <c r="AB99">
        <f>HYPERLINK("https://klasma.github.io/Logging_0781/klagomålsmail/A 32047-2024 FSC-klagomål mail.docx", "A 32047-2024")</f>
        <v/>
      </c>
      <c r="AC99">
        <f>HYPERLINK("https://klasma.github.io/Logging_0781/tillsyn/A 32047-2024 tillsynsbegäran.docx", "A 32047-2024")</f>
        <v/>
      </c>
      <c r="AD99">
        <f>HYPERLINK("https://klasma.github.io/Logging_0781/tillsynsmail/A 32047-2024 tillsynsbegäran mail.docx", "A 32047-2024")</f>
        <v/>
      </c>
    </row>
    <row r="100" ht="15" customHeight="1">
      <c r="A100" t="inlineStr">
        <is>
          <t>A 34935-2024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45527</v>
      </c>
      <c r="E100" s="1" t="n">
        <v>46311</v>
      </c>
      <c r="F100" t="inlineStr">
        <is>
          <t>KRONOBERGS LÄN</t>
        </is>
      </c>
      <c r="G100" t="inlineStr">
        <is>
          <t>LJUNGBY</t>
        </is>
      </c>
      <c r="I100" t="n">
        <v>0.9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Hårginst</t>
        </is>
      </c>
      <c r="W100">
        <f>HYPERLINK("https://klasma.github.io/Logging_0781/artfynd/A 34935-2024 artfynd.xlsx", "A 34935-2024")</f>
        <v/>
      </c>
      <c r="X100">
        <f>HYPERLINK("https://klasma.github.io/Logging_0781/kartor/A 34935-2024 karta.png", "A 34935-2024")</f>
        <v/>
      </c>
      <c r="Y100">
        <f>HYPERLINK("https://klasma.github.io/Logging_0781/kartor_geotiff/A 34935-2024 georefererad karta.tif", "A 34935-2024")</f>
        <v/>
      </c>
      <c r="AA100">
        <f>HYPERLINK("https://klasma.github.io/Logging_0781/klagomål/A 34935-2024 FSC-klagomål.docx", "A 34935-2024")</f>
        <v/>
      </c>
      <c r="AB100">
        <f>HYPERLINK("https://klasma.github.io/Logging_0781/klagomålsmail/A 34935-2024 FSC-klagomål mail.docx", "A 34935-2024")</f>
        <v/>
      </c>
      <c r="AC100">
        <f>HYPERLINK("https://klasma.github.io/Logging_0781/tillsyn/A 34935-2024 tillsynsbegäran.docx", "A 34935-2024")</f>
        <v/>
      </c>
      <c r="AD100">
        <f>HYPERLINK("https://klasma.github.io/Logging_0781/tillsynsmail/A 34935-2024 tillsynsbegäran mail.docx", "A 34935-2024")</f>
        <v/>
      </c>
    </row>
    <row r="101" ht="15" customHeight="1">
      <c r="A101" t="inlineStr">
        <is>
          <t>A 25241-2023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45079</v>
      </c>
      <c r="E101" s="1" t="n">
        <v>46311</v>
      </c>
      <c r="F101" t="inlineStr">
        <is>
          <t>KRONOBERGS LÄN</t>
        </is>
      </c>
      <c r="G101" t="inlineStr">
        <is>
          <t>LJUNGBY</t>
        </is>
      </c>
      <c r="I101" t="n">
        <v>0.8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Mattlummer</t>
        </is>
      </c>
      <c r="W101">
        <f>HYPERLINK("https://klasma.github.io/Logging_0781/artfynd/A 25241-2023 artfynd.xlsx", "A 25241-2023")</f>
        <v/>
      </c>
      <c r="X101">
        <f>HYPERLINK("https://klasma.github.io/Logging_0781/kartor/A 25241-2023 karta.png", "A 25241-2023")</f>
        <v/>
      </c>
      <c r="Y101">
        <f>HYPERLINK("https://klasma.github.io/Logging_0781/kartor_geotiff/A 25241-2023 georefererad karta.tif", "A 25241-2023")</f>
        <v/>
      </c>
      <c r="AA101">
        <f>HYPERLINK("https://klasma.github.io/Logging_0781/klagomål/A 25241-2023 FSC-klagomål.docx", "A 25241-2023")</f>
        <v/>
      </c>
      <c r="AB101">
        <f>HYPERLINK("https://klasma.github.io/Logging_0781/klagomålsmail/A 25241-2023 FSC-klagomål mail.docx", "A 25241-2023")</f>
        <v/>
      </c>
      <c r="AC101">
        <f>HYPERLINK("https://klasma.github.io/Logging_0781/tillsyn/A 25241-2023 tillsynsbegäran.docx", "A 25241-2023")</f>
        <v/>
      </c>
      <c r="AD101">
        <f>HYPERLINK("https://klasma.github.io/Logging_0781/tillsynsmail/A 25241-2023 tillsynsbegäran mail.docx", "A 25241-2023")</f>
        <v/>
      </c>
    </row>
    <row r="102" ht="15" customHeight="1">
      <c r="A102" t="inlineStr">
        <is>
          <t>A 5614-2024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45334</v>
      </c>
      <c r="E102" s="1" t="n">
        <v>46311</v>
      </c>
      <c r="F102" t="inlineStr">
        <is>
          <t>KRONOBERGS LÄN</t>
        </is>
      </c>
      <c r="G102" t="inlineStr">
        <is>
          <t>LJUNGBY</t>
        </is>
      </c>
      <c r="H102" t="inlineStr">
        <is>
          <t>Kommuner</t>
        </is>
      </c>
      <c r="I102" t="n">
        <v>6.5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s="2" t="inlineStr">
        <is>
          <t>Sjötåtel</t>
        </is>
      </c>
      <c r="W102">
        <f>HYPERLINK("https://klasma.github.io/Logging_0781/artfynd/A 5614-2024 artfynd.xlsx", "A 5614-2024")</f>
        <v/>
      </c>
      <c r="X102">
        <f>HYPERLINK("https://klasma.github.io/Logging_0781/kartor/A 5614-2024 karta.png", "A 5614-2024")</f>
        <v/>
      </c>
      <c r="Y102">
        <f>HYPERLINK("https://klasma.github.io/Logging_0781/kartor_geotiff/A 5614-2024 georefererad karta.tif", "A 5614-2024")</f>
        <v/>
      </c>
      <c r="AA102">
        <f>HYPERLINK("https://klasma.github.io/Logging_0781/klagomål/A 5614-2024 FSC-klagomål.docx", "A 5614-2024")</f>
        <v/>
      </c>
      <c r="AB102">
        <f>HYPERLINK("https://klasma.github.io/Logging_0781/klagomålsmail/A 5614-2024 FSC-klagomål mail.docx", "A 5614-2024")</f>
        <v/>
      </c>
      <c r="AC102">
        <f>HYPERLINK("https://klasma.github.io/Logging_0781/tillsyn/A 5614-2024 tillsynsbegäran.docx", "A 5614-2024")</f>
        <v/>
      </c>
      <c r="AD102">
        <f>HYPERLINK("https://klasma.github.io/Logging_0781/tillsynsmail/A 5614-2024 tillsynsbegäran mail.docx", "A 5614-2024")</f>
        <v/>
      </c>
    </row>
    <row r="103" ht="15" customHeight="1">
      <c r="A103" t="inlineStr">
        <is>
          <t>A 13387-2022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44645</v>
      </c>
      <c r="E103" s="1" t="n">
        <v>46311</v>
      </c>
      <c r="F103" t="inlineStr">
        <is>
          <t>KRONOBERGS LÄN</t>
        </is>
      </c>
      <c r="G103" t="inlineStr">
        <is>
          <t>LJUNGBY</t>
        </is>
      </c>
      <c r="I103" t="n">
        <v>1.4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s="2" t="inlineStr">
        <is>
          <t>Borsttåg</t>
        </is>
      </c>
      <c r="W103">
        <f>HYPERLINK("https://klasma.github.io/Logging_0781/artfynd/A 13387-2022 artfynd.xlsx", "A 13387-2022")</f>
        <v/>
      </c>
      <c r="X103">
        <f>HYPERLINK("https://klasma.github.io/Logging_0781/kartor/A 13387-2022 karta.png", "A 13387-2022")</f>
        <v/>
      </c>
      <c r="Y103">
        <f>HYPERLINK("https://klasma.github.io/Logging_0781/kartor_geotiff/A 13387-2022 georefererad karta.tif", "A 13387-2022")</f>
        <v/>
      </c>
      <c r="AA103">
        <f>HYPERLINK("https://klasma.github.io/Logging_0781/klagomål/A 13387-2022 FSC-klagomål.docx", "A 13387-2022")</f>
        <v/>
      </c>
      <c r="AB103">
        <f>HYPERLINK("https://klasma.github.io/Logging_0781/klagomålsmail/A 13387-2022 FSC-klagomål mail.docx", "A 13387-2022")</f>
        <v/>
      </c>
      <c r="AC103">
        <f>HYPERLINK("https://klasma.github.io/Logging_0781/tillsyn/A 13387-2022 tillsynsbegäran.docx", "A 13387-2022")</f>
        <v/>
      </c>
      <c r="AD103">
        <f>HYPERLINK("https://klasma.github.io/Logging_0781/tillsynsmail/A 13387-2022 tillsynsbegäran mail.docx", "A 13387-2022")</f>
        <v/>
      </c>
    </row>
    <row r="104" ht="15" customHeight="1">
      <c r="A104" t="inlineStr">
        <is>
          <t>A 49087-2025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45937</v>
      </c>
      <c r="E104" s="1" t="n">
        <v>46311</v>
      </c>
      <c r="F104" t="inlineStr">
        <is>
          <t>KRONOBERGS LÄN</t>
        </is>
      </c>
      <c r="G104" t="inlineStr">
        <is>
          <t>LJUNGBY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s="2" t="inlineStr">
        <is>
          <t>Kungsfågel</t>
        </is>
      </c>
      <c r="W104">
        <f>HYPERLINK("https://klasma.github.io/Logging_0781/artfynd/A 49087-2025 artfynd.xlsx", "A 49087-2025")</f>
        <v/>
      </c>
      <c r="X104">
        <f>HYPERLINK("https://klasma.github.io/Logging_0781/kartor/A 49087-2025 karta.png", "A 49087-2025")</f>
        <v/>
      </c>
      <c r="Y104">
        <f>HYPERLINK("https://klasma.github.io/Logging_0781/kartor_geotiff/A 49087-2025 georefererad karta.tif", "A 49087-2025")</f>
        <v/>
      </c>
      <c r="AA104">
        <f>HYPERLINK("https://klasma.github.io/Logging_0781/klagomål/A 49087-2025 FSC-klagomål.docx", "A 49087-2025")</f>
        <v/>
      </c>
      <c r="AB104">
        <f>HYPERLINK("https://klasma.github.io/Logging_0781/klagomålsmail/A 49087-2025 FSC-klagomål mail.docx", "A 49087-2025")</f>
        <v/>
      </c>
      <c r="AC104">
        <f>HYPERLINK("https://klasma.github.io/Logging_0781/tillsyn/A 49087-2025 tillsynsbegäran.docx", "A 49087-2025")</f>
        <v/>
      </c>
      <c r="AD104">
        <f>HYPERLINK("https://klasma.github.io/Logging_0781/tillsynsmail/A 49087-2025 tillsynsbegäran mail.docx", "A 49087-2025")</f>
        <v/>
      </c>
    </row>
    <row r="105" ht="15" customHeight="1">
      <c r="A105" t="inlineStr">
        <is>
          <t>A 26064-2025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45805</v>
      </c>
      <c r="E105" s="1" t="n">
        <v>46311</v>
      </c>
      <c r="F105" t="inlineStr">
        <is>
          <t>KRONOBERGS LÄN</t>
        </is>
      </c>
      <c r="G105" t="inlineStr">
        <is>
          <t>LJUNGBY</t>
        </is>
      </c>
      <c r="H105" t="inlineStr">
        <is>
          <t>Sveaskog</t>
        </is>
      </c>
      <c r="I105" t="n">
        <v>3.9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0</v>
      </c>
      <c r="V105" s="2" t="inlineStr">
        <is>
          <t>Brunpudrad nållav</t>
        </is>
      </c>
      <c r="W105">
        <f>HYPERLINK("https://klasma.github.io/Logging_0781/artfynd/A 26064-2025 artfynd.xlsx", "A 26064-2025")</f>
        <v/>
      </c>
      <c r="X105">
        <f>HYPERLINK("https://klasma.github.io/Logging_0781/kartor/A 26064-2025 karta.png", "A 26064-2025")</f>
        <v/>
      </c>
      <c r="Y105">
        <f>HYPERLINK("https://klasma.github.io/Logging_0781/kartor_geotiff/A 26064-2025 georefererad karta.tif", "A 26064-2025")</f>
        <v/>
      </c>
      <c r="AA105">
        <f>HYPERLINK("https://klasma.github.io/Logging_0781/klagomål/A 26064-2025 FSC-klagomål.docx", "A 26064-2025")</f>
        <v/>
      </c>
      <c r="AB105">
        <f>HYPERLINK("https://klasma.github.io/Logging_0781/klagomålsmail/A 26064-2025 FSC-klagomål mail.docx", "A 26064-2025")</f>
        <v/>
      </c>
      <c r="AC105">
        <f>HYPERLINK("https://klasma.github.io/Logging_0781/tillsyn/A 26064-2025 tillsynsbegäran.docx", "A 26064-2025")</f>
        <v/>
      </c>
      <c r="AD105">
        <f>HYPERLINK("https://klasma.github.io/Logging_0781/tillsynsmail/A 26064-2025 tillsynsbegäran mail.docx", "A 26064-2025")</f>
        <v/>
      </c>
    </row>
    <row r="106" ht="15" customHeight="1">
      <c r="A106" t="inlineStr">
        <is>
          <t>A 48152-2023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45205</v>
      </c>
      <c r="E106" s="1" t="n">
        <v>46311</v>
      </c>
      <c r="F106" t="inlineStr">
        <is>
          <t>KRONOBERGS LÄN</t>
        </is>
      </c>
      <c r="G106" t="inlineStr">
        <is>
          <t>LJUNGBY</t>
        </is>
      </c>
      <c r="I106" t="n">
        <v>0.6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s="2" t="inlineStr">
        <is>
          <t>Talltita</t>
        </is>
      </c>
      <c r="W106">
        <f>HYPERLINK("https://klasma.github.io/Logging_0781/artfynd/A 48152-2023 artfynd.xlsx", "A 48152-2023")</f>
        <v/>
      </c>
      <c r="X106">
        <f>HYPERLINK("https://klasma.github.io/Logging_0781/kartor/A 48152-2023 karta.png", "A 48152-2023")</f>
        <v/>
      </c>
      <c r="Y106">
        <f>HYPERLINK("https://klasma.github.io/Logging_0781/kartor_geotiff/A 48152-2023 georefererad karta.tif", "A 48152-2023")</f>
        <v/>
      </c>
      <c r="AA106">
        <f>HYPERLINK("https://klasma.github.io/Logging_0781/klagomål/A 48152-2023 FSC-klagomål.docx", "A 48152-2023")</f>
        <v/>
      </c>
      <c r="AB106">
        <f>HYPERLINK("https://klasma.github.io/Logging_0781/klagomålsmail/A 48152-2023 FSC-klagomål mail.docx", "A 48152-2023")</f>
        <v/>
      </c>
      <c r="AC106">
        <f>HYPERLINK("https://klasma.github.io/Logging_0781/tillsyn/A 48152-2023 tillsynsbegäran.docx", "A 48152-2023")</f>
        <v/>
      </c>
      <c r="AD106">
        <f>HYPERLINK("https://klasma.github.io/Logging_0781/tillsynsmail/A 48152-2023 tillsynsbegäran mail.docx", "A 48152-2023")</f>
        <v/>
      </c>
      <c r="AE106">
        <f>HYPERLINK("https://klasma.github.io/Logging_0781/fåglar/A 48152-2023 prioriterade fågelarter.docx", "A 48152-2023")</f>
        <v/>
      </c>
    </row>
    <row r="107" ht="15" customHeight="1">
      <c r="A107" t="inlineStr">
        <is>
          <t>A 15426-2023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45020</v>
      </c>
      <c r="E107" s="1" t="n">
        <v>46311</v>
      </c>
      <c r="F107" t="inlineStr">
        <is>
          <t>KRONOBERGS LÄN</t>
        </is>
      </c>
      <c r="G107" t="inlineStr">
        <is>
          <t>LJUNGBY</t>
        </is>
      </c>
      <c r="H107" t="inlineStr">
        <is>
          <t>Kyrkan</t>
        </is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Myskmadra</t>
        </is>
      </c>
      <c r="W107">
        <f>HYPERLINK("https://klasma.github.io/Logging_0781/artfynd/A 15426-2023 artfynd.xlsx", "A 15426-2023")</f>
        <v/>
      </c>
      <c r="X107">
        <f>HYPERLINK("https://klasma.github.io/Logging_0781/kartor/A 15426-2023 karta.png", "A 15426-2023")</f>
        <v/>
      </c>
      <c r="Y107">
        <f>HYPERLINK("https://klasma.github.io/Logging_0781/kartor_geotiff/A 15426-2023 georefererad karta.tif", "A 15426-2023")</f>
        <v/>
      </c>
      <c r="AA107">
        <f>HYPERLINK("https://klasma.github.io/Logging_0781/klagomål/A 15426-2023 FSC-klagomål.docx", "A 15426-2023")</f>
        <v/>
      </c>
      <c r="AB107">
        <f>HYPERLINK("https://klasma.github.io/Logging_0781/klagomålsmail/A 15426-2023 FSC-klagomål mail.docx", "A 15426-2023")</f>
        <v/>
      </c>
      <c r="AC107">
        <f>HYPERLINK("https://klasma.github.io/Logging_0781/tillsyn/A 15426-2023 tillsynsbegäran.docx", "A 15426-2023")</f>
        <v/>
      </c>
      <c r="AD107">
        <f>HYPERLINK("https://klasma.github.io/Logging_0781/tillsynsmail/A 15426-2023 tillsynsbegäran mail.docx", "A 15426-2023")</f>
        <v/>
      </c>
    </row>
    <row r="108" ht="15" customHeight="1">
      <c r="A108" t="inlineStr">
        <is>
          <t>A 14496-2023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45012</v>
      </c>
      <c r="E108" s="1" t="n">
        <v>46311</v>
      </c>
      <c r="F108" t="inlineStr">
        <is>
          <t>KRONOBERGS LÄN</t>
        </is>
      </c>
      <c r="G108" t="inlineStr">
        <is>
          <t>LJUNGBY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2</v>
      </c>
      <c r="U108" t="n">
        <v>2</v>
      </c>
      <c r="V108" s="2" t="inlineStr">
        <is>
          <t>Bäckbräsma</t>
        </is>
      </c>
      <c r="W108">
        <f>HYPERLINK("https://klasma.github.io/Logging_0781/artfynd/A 14496-2023 artfynd.xlsx", "A 14496-2023")</f>
        <v/>
      </c>
      <c r="X108">
        <f>HYPERLINK("https://klasma.github.io/Logging_0781/kartor/A 14496-2023 karta.png", "A 14496-2023")</f>
        <v/>
      </c>
      <c r="Y108">
        <f>HYPERLINK("https://klasma.github.io/Logging_0781/kartor_geotiff/A 14496-2023 georefererad karta.tif", "A 14496-2023")</f>
        <v/>
      </c>
      <c r="AA108">
        <f>HYPERLINK("https://klasma.github.io/Logging_0781/klagomål/A 14496-2023 FSC-klagomål.docx", "A 14496-2023")</f>
        <v/>
      </c>
      <c r="AB108">
        <f>HYPERLINK("https://klasma.github.io/Logging_0781/klagomålsmail/A 14496-2023 FSC-klagomål mail.docx", "A 14496-2023")</f>
        <v/>
      </c>
      <c r="AC108">
        <f>HYPERLINK("https://klasma.github.io/Logging_0781/tillsyn/A 14496-2023 tillsynsbegäran.docx", "A 14496-2023")</f>
        <v/>
      </c>
      <c r="AD108">
        <f>HYPERLINK("https://klasma.github.io/Logging_0781/tillsynsmail/A 14496-2023 tillsynsbegäran mail.docx", "A 14496-2023")</f>
        <v/>
      </c>
    </row>
    <row r="109" ht="15" customHeight="1">
      <c r="A109" t="inlineStr">
        <is>
          <t>A 57750-2023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45246</v>
      </c>
      <c r="E109" s="1" t="n">
        <v>46311</v>
      </c>
      <c r="F109" t="inlineStr">
        <is>
          <t>KRONOBERGS LÄN</t>
        </is>
      </c>
      <c r="G109" t="inlineStr">
        <is>
          <t>LJUNGBY</t>
        </is>
      </c>
      <c r="I109" t="n">
        <v>1.2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s="2" t="inlineStr">
        <is>
          <t>Svart skogssnigel</t>
        </is>
      </c>
      <c r="W109">
        <f>HYPERLINK("https://klasma.github.io/Logging_0781/artfynd/A 57750-2023 artfynd.xlsx", "A 57750-2023")</f>
        <v/>
      </c>
      <c r="X109">
        <f>HYPERLINK("https://klasma.github.io/Logging_0781/kartor/A 57750-2023 karta.png", "A 57750-2023")</f>
        <v/>
      </c>
      <c r="Y109">
        <f>HYPERLINK("https://klasma.github.io/Logging_0781/kartor_geotiff/A 57750-2023 georefererad karta.tif", "A 57750-2023")</f>
        <v/>
      </c>
      <c r="AA109">
        <f>HYPERLINK("https://klasma.github.io/Logging_0781/klagomål/A 57750-2023 FSC-klagomål.docx", "A 57750-2023")</f>
        <v/>
      </c>
      <c r="AB109">
        <f>HYPERLINK("https://klasma.github.io/Logging_0781/klagomålsmail/A 57750-2023 FSC-klagomål mail.docx", "A 57750-2023")</f>
        <v/>
      </c>
      <c r="AC109">
        <f>HYPERLINK("https://klasma.github.io/Logging_0781/tillsyn/A 57750-2023 tillsynsbegäran.docx", "A 57750-2023")</f>
        <v/>
      </c>
      <c r="AD109">
        <f>HYPERLINK("https://klasma.github.io/Logging_0781/tillsynsmail/A 57750-2023 tillsynsbegäran mail.docx", "A 57750-2023")</f>
        <v/>
      </c>
    </row>
    <row r="110" ht="15" customHeight="1">
      <c r="A110" t="inlineStr">
        <is>
          <t>A 29335-2024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45483</v>
      </c>
      <c r="E110" s="1" t="n">
        <v>46311</v>
      </c>
      <c r="F110" t="inlineStr">
        <is>
          <t>KRONOBERGS LÄN</t>
        </is>
      </c>
      <c r="G110" t="inlineStr">
        <is>
          <t>LJUNGBY</t>
        </is>
      </c>
      <c r="I110" t="n">
        <v>3.8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Orre</t>
        </is>
      </c>
      <c r="W110">
        <f>HYPERLINK("https://klasma.github.io/Logging_0781/artfynd/A 29335-2024 artfynd.xlsx", "A 29335-2024")</f>
        <v/>
      </c>
      <c r="X110">
        <f>HYPERLINK("https://klasma.github.io/Logging_0781/kartor/A 29335-2024 karta.png", "A 29335-2024")</f>
        <v/>
      </c>
      <c r="Y110">
        <f>HYPERLINK("https://klasma.github.io/Logging_0781/kartor_geotiff/A 29335-2024 georefererad karta.tif", "A 29335-2024")</f>
        <v/>
      </c>
      <c r="AA110">
        <f>HYPERLINK("https://klasma.github.io/Logging_0781/klagomål/A 29335-2024 FSC-klagomål.docx", "A 29335-2024")</f>
        <v/>
      </c>
      <c r="AB110">
        <f>HYPERLINK("https://klasma.github.io/Logging_0781/klagomålsmail/A 29335-2024 FSC-klagomål mail.docx", "A 29335-2024")</f>
        <v/>
      </c>
      <c r="AC110">
        <f>HYPERLINK("https://klasma.github.io/Logging_0781/tillsyn/A 29335-2024 tillsynsbegäran.docx", "A 29335-2024")</f>
        <v/>
      </c>
      <c r="AD110">
        <f>HYPERLINK("https://klasma.github.io/Logging_0781/tillsynsmail/A 29335-2024 tillsynsbegäran mail.docx", "A 29335-2024")</f>
        <v/>
      </c>
      <c r="AE110">
        <f>HYPERLINK("https://klasma.github.io/Logging_0781/fåglar/A 29335-2024 prioriterade fågelarter.docx", "A 29335-2024")</f>
        <v/>
      </c>
    </row>
    <row r="111" ht="15" customHeight="1">
      <c r="A111" t="inlineStr">
        <is>
          <t>A 54002-2025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45961</v>
      </c>
      <c r="E111" s="1" t="n">
        <v>46311</v>
      </c>
      <c r="F111" t="inlineStr">
        <is>
          <t>KRONOBERGS LÄN</t>
        </is>
      </c>
      <c r="G111" t="inlineStr">
        <is>
          <t>LJUNGBY</t>
        </is>
      </c>
      <c r="I111" t="n">
        <v>1.2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s="2" t="inlineStr">
        <is>
          <t>Rostfläck</t>
        </is>
      </c>
      <c r="W111">
        <f>HYPERLINK("https://klasma.github.io/Logging_0781/artfynd/A 54002-2025 artfynd.xlsx", "A 54002-2025")</f>
        <v/>
      </c>
      <c r="X111">
        <f>HYPERLINK("https://klasma.github.io/Logging_0781/kartor/A 54002-2025 karta.png", "A 54002-2025")</f>
        <v/>
      </c>
      <c r="Y111">
        <f>HYPERLINK("https://klasma.github.io/Logging_0781/kartor_geotiff/A 54002-2025 georefererad karta.tif", "A 54002-2025")</f>
        <v/>
      </c>
      <c r="AA111">
        <f>HYPERLINK("https://klasma.github.io/Logging_0781/klagomål/A 54002-2025 FSC-klagomål.docx", "A 54002-2025")</f>
        <v/>
      </c>
      <c r="AB111">
        <f>HYPERLINK("https://klasma.github.io/Logging_0781/klagomålsmail/A 54002-2025 FSC-klagomål mail.docx", "A 54002-2025")</f>
        <v/>
      </c>
      <c r="AC111">
        <f>HYPERLINK("https://klasma.github.io/Logging_0781/tillsyn/A 54002-2025 tillsynsbegäran.docx", "A 54002-2025")</f>
        <v/>
      </c>
      <c r="AD111">
        <f>HYPERLINK("https://klasma.github.io/Logging_0781/tillsynsmail/A 54002-2025 tillsynsbegäran mail.docx", "A 54002-2025")</f>
        <v/>
      </c>
    </row>
    <row r="112" ht="15" customHeight="1">
      <c r="A112" t="inlineStr">
        <is>
          <t>A 2159-2025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45672</v>
      </c>
      <c r="E112" s="1" t="n">
        <v>46311</v>
      </c>
      <c r="F112" t="inlineStr">
        <is>
          <t>KRONOBERGS LÄN</t>
        </is>
      </c>
      <c r="G112" t="inlineStr">
        <is>
          <t>LJUNGBY</t>
        </is>
      </c>
      <c r="I112" t="n">
        <v>3.6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2</v>
      </c>
      <c r="U112" t="n">
        <v>2</v>
      </c>
      <c r="V112" s="2" t="inlineStr">
        <is>
          <t>Slåttergubbe</t>
        </is>
      </c>
      <c r="W112">
        <f>HYPERLINK("https://klasma.github.io/Logging_0781/artfynd/A 2159-2025 artfynd.xlsx", "A 2159-2025")</f>
        <v/>
      </c>
      <c r="X112">
        <f>HYPERLINK("https://klasma.github.io/Logging_0781/kartor/A 2159-2025 karta.png", "A 2159-2025")</f>
        <v/>
      </c>
      <c r="Y112">
        <f>HYPERLINK("https://klasma.github.io/Logging_0781/kartor_geotiff/A 2159-2025 georefererad karta.tif", "A 2159-2025")</f>
        <v/>
      </c>
      <c r="AA112">
        <f>HYPERLINK("https://klasma.github.io/Logging_0781/klagomål/A 2159-2025 FSC-klagomål.docx", "A 2159-2025")</f>
        <v/>
      </c>
      <c r="AB112">
        <f>HYPERLINK("https://klasma.github.io/Logging_0781/klagomålsmail/A 2159-2025 FSC-klagomål mail.docx", "A 2159-2025")</f>
        <v/>
      </c>
      <c r="AC112">
        <f>HYPERLINK("https://klasma.github.io/Logging_0781/tillsyn/A 2159-2025 tillsynsbegäran.docx", "A 2159-2025")</f>
        <v/>
      </c>
      <c r="AD112">
        <f>HYPERLINK("https://klasma.github.io/Logging_0781/tillsynsmail/A 2159-2025 tillsynsbegäran mail.docx", "A 2159-2025")</f>
        <v/>
      </c>
    </row>
    <row r="113" ht="15" customHeight="1">
      <c r="A113" t="inlineStr">
        <is>
          <t>A 64830-2023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45282</v>
      </c>
      <c r="E113" s="1" t="n">
        <v>46311</v>
      </c>
      <c r="F113" t="inlineStr">
        <is>
          <t>KRONOBERGS LÄN</t>
        </is>
      </c>
      <c r="G113" t="inlineStr">
        <is>
          <t>LJUNGBY</t>
        </is>
      </c>
      <c r="I113" t="n">
        <v>0.7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s="2" t="inlineStr">
        <is>
          <t>Mattlummer</t>
        </is>
      </c>
      <c r="W113">
        <f>HYPERLINK("https://klasma.github.io/Logging_0781/artfynd/A 64830-2023 artfynd.xlsx", "A 64830-2023")</f>
        <v/>
      </c>
      <c r="X113">
        <f>HYPERLINK("https://klasma.github.io/Logging_0781/kartor/A 64830-2023 karta.png", "A 64830-2023")</f>
        <v/>
      </c>
      <c r="Y113">
        <f>HYPERLINK("https://klasma.github.io/Logging_0781/kartor_geotiff/A 64830-2023 georefererad karta.tif", "A 64830-2023")</f>
        <v/>
      </c>
      <c r="AA113">
        <f>HYPERLINK("https://klasma.github.io/Logging_0781/klagomål/A 64830-2023 FSC-klagomål.docx", "A 64830-2023")</f>
        <v/>
      </c>
      <c r="AB113">
        <f>HYPERLINK("https://klasma.github.io/Logging_0781/klagomålsmail/A 64830-2023 FSC-klagomål mail.docx", "A 64830-2023")</f>
        <v/>
      </c>
      <c r="AC113">
        <f>HYPERLINK("https://klasma.github.io/Logging_0781/tillsyn/A 64830-2023 tillsynsbegäran.docx", "A 64830-2023")</f>
        <v/>
      </c>
      <c r="AD113">
        <f>HYPERLINK("https://klasma.github.io/Logging_0781/tillsynsmail/A 64830-2023 tillsynsbegäran mail.docx", "A 64830-2023")</f>
        <v/>
      </c>
    </row>
    <row r="114" ht="15" customHeight="1">
      <c r="A114" t="inlineStr">
        <is>
          <t>A 45205-2023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45191</v>
      </c>
      <c r="E114" s="1" t="n">
        <v>46311</v>
      </c>
      <c r="F114" t="inlineStr">
        <is>
          <t>KRONOBERGS LÄN</t>
        </is>
      </c>
      <c r="G114" t="inlineStr">
        <is>
          <t>LJUNGBY</t>
        </is>
      </c>
      <c r="I114" t="n">
        <v>0.7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Mattlummer</t>
        </is>
      </c>
      <c r="W114">
        <f>HYPERLINK("https://klasma.github.io/Logging_0781/artfynd/A 45205-2023 artfynd.xlsx", "A 45205-2023")</f>
        <v/>
      </c>
      <c r="X114">
        <f>HYPERLINK("https://klasma.github.io/Logging_0781/kartor/A 45205-2023 karta.png", "A 45205-2023")</f>
        <v/>
      </c>
      <c r="Y114">
        <f>HYPERLINK("https://klasma.github.io/Logging_0781/kartor_geotiff/A 45205-2023 georefererad karta.tif", "A 45205-2023")</f>
        <v/>
      </c>
      <c r="AA114">
        <f>HYPERLINK("https://klasma.github.io/Logging_0781/klagomål/A 45205-2023 FSC-klagomål.docx", "A 45205-2023")</f>
        <v/>
      </c>
      <c r="AB114">
        <f>HYPERLINK("https://klasma.github.io/Logging_0781/klagomålsmail/A 45205-2023 FSC-klagomål mail.docx", "A 45205-2023")</f>
        <v/>
      </c>
      <c r="AC114">
        <f>HYPERLINK("https://klasma.github.io/Logging_0781/tillsyn/A 45205-2023 tillsynsbegäran.docx", "A 45205-2023")</f>
        <v/>
      </c>
      <c r="AD114">
        <f>HYPERLINK("https://klasma.github.io/Logging_0781/tillsynsmail/A 45205-2023 tillsynsbegäran mail.docx", "A 45205-2023")</f>
        <v/>
      </c>
    </row>
    <row r="115" ht="15" customHeight="1">
      <c r="A115" t="inlineStr">
        <is>
          <t>A 14493-2023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45012</v>
      </c>
      <c r="E115" s="1" t="n">
        <v>46311</v>
      </c>
      <c r="F115" t="inlineStr">
        <is>
          <t>KRONOBERGS LÄN</t>
        </is>
      </c>
      <c r="G115" t="inlineStr">
        <is>
          <t>LJUNGBY</t>
        </is>
      </c>
      <c r="I115" t="n">
        <v>1.9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Mattlummer</t>
        </is>
      </c>
      <c r="W115">
        <f>HYPERLINK("https://klasma.github.io/Logging_0781/artfynd/A 14493-2023 artfynd.xlsx", "A 14493-2023")</f>
        <v/>
      </c>
      <c r="X115">
        <f>HYPERLINK("https://klasma.github.io/Logging_0781/kartor/A 14493-2023 karta.png", "A 14493-2023")</f>
        <v/>
      </c>
      <c r="Y115">
        <f>HYPERLINK("https://klasma.github.io/Logging_0781/kartor_geotiff/A 14493-2023 georefererad karta.tif", "A 14493-2023")</f>
        <v/>
      </c>
      <c r="AA115">
        <f>HYPERLINK("https://klasma.github.io/Logging_0781/klagomål/A 14493-2023 FSC-klagomål.docx", "A 14493-2023")</f>
        <v/>
      </c>
      <c r="AB115">
        <f>HYPERLINK("https://klasma.github.io/Logging_0781/klagomålsmail/A 14493-2023 FSC-klagomål mail.docx", "A 14493-2023")</f>
        <v/>
      </c>
      <c r="AC115">
        <f>HYPERLINK("https://klasma.github.io/Logging_0781/tillsyn/A 14493-2023 tillsynsbegäran.docx", "A 14493-2023")</f>
        <v/>
      </c>
      <c r="AD115">
        <f>HYPERLINK("https://klasma.github.io/Logging_0781/tillsynsmail/A 14493-2023 tillsynsbegäran mail.docx", "A 14493-2023")</f>
        <v/>
      </c>
    </row>
    <row r="116" ht="15" customHeight="1">
      <c r="A116" t="inlineStr">
        <is>
          <t>A 29769-2026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46204</v>
      </c>
      <c r="E116" s="1" t="n">
        <v>46311</v>
      </c>
      <c r="F116" t="inlineStr">
        <is>
          <t>KRONOBERGS LÄN</t>
        </is>
      </c>
      <c r="G116" t="inlineStr">
        <is>
          <t>LJUNGBY</t>
        </is>
      </c>
      <c r="I116" t="n">
        <v>2.2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Svinrot</t>
        </is>
      </c>
      <c r="W116">
        <f>HYPERLINK("https://klasma.github.io/Logging_0781/artfynd/A 29769-2026 artfynd.xlsx", "A 29769-2026")</f>
        <v/>
      </c>
      <c r="X116">
        <f>HYPERLINK("https://klasma.github.io/Logging_0781/kartor/A 29769-2026 karta.png", "A 29769-2026")</f>
        <v/>
      </c>
      <c r="Y116">
        <f>HYPERLINK("https://klasma.github.io/Logging_0781/kartor_geotiff/A 29769-2026 georefererad karta.tif", "A 29769-2026")</f>
        <v/>
      </c>
      <c r="AA116">
        <f>HYPERLINK("https://klasma.github.io/Logging_0781/klagomål/A 29769-2026 FSC-klagomål.docx", "A 29769-2026")</f>
        <v/>
      </c>
      <c r="AB116">
        <f>HYPERLINK("https://klasma.github.io/Logging_0781/klagomålsmail/A 29769-2026 FSC-klagomål mail.docx", "A 29769-2026")</f>
        <v/>
      </c>
      <c r="AC116">
        <f>HYPERLINK("https://klasma.github.io/Logging_0781/tillsyn/A 29769-2026 tillsynsbegäran.docx", "A 29769-2026")</f>
        <v/>
      </c>
      <c r="AD116">
        <f>HYPERLINK("https://klasma.github.io/Logging_0781/tillsynsmail/A 29769-2026 tillsynsbegäran mail.docx", "A 29769-2026")</f>
        <v/>
      </c>
    </row>
    <row r="117" ht="15" customHeight="1">
      <c r="A117" t="inlineStr">
        <is>
          <t>A 40088-2022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44820</v>
      </c>
      <c r="E117" s="1" t="n">
        <v>46311</v>
      </c>
      <c r="F117" t="inlineStr">
        <is>
          <t>KRONOBERGS LÄN</t>
        </is>
      </c>
      <c r="G117" t="inlineStr">
        <is>
          <t>LJUNGBY</t>
        </is>
      </c>
      <c r="I117" t="n">
        <v>1.1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s="2" t="inlineStr">
        <is>
          <t>Stor hagfibbla</t>
        </is>
      </c>
      <c r="W117">
        <f>HYPERLINK("https://klasma.github.io/Logging_0781/artfynd/A 40088-2022 artfynd.xlsx", "A 40088-2022")</f>
        <v/>
      </c>
      <c r="X117">
        <f>HYPERLINK("https://klasma.github.io/Logging_0781/kartor/A 40088-2022 karta.png", "A 40088-2022")</f>
        <v/>
      </c>
      <c r="Y117">
        <f>HYPERLINK("https://klasma.github.io/Logging_0781/kartor_geotiff/A 40088-2022 georefererad karta.tif", "A 40088-2022")</f>
        <v/>
      </c>
      <c r="AA117">
        <f>HYPERLINK("https://klasma.github.io/Logging_0781/klagomål/A 40088-2022 FSC-klagomål.docx", "A 40088-2022")</f>
        <v/>
      </c>
      <c r="AB117">
        <f>HYPERLINK("https://klasma.github.io/Logging_0781/klagomålsmail/A 40088-2022 FSC-klagomål mail.docx", "A 40088-2022")</f>
        <v/>
      </c>
      <c r="AC117">
        <f>HYPERLINK("https://klasma.github.io/Logging_0781/tillsyn/A 40088-2022 tillsynsbegäran.docx", "A 40088-2022")</f>
        <v/>
      </c>
      <c r="AD117">
        <f>HYPERLINK("https://klasma.github.io/Logging_0781/tillsynsmail/A 40088-2022 tillsynsbegäran mail.docx", "A 40088-2022")</f>
        <v/>
      </c>
    </row>
    <row r="118" ht="15" customHeight="1">
      <c r="A118" t="inlineStr">
        <is>
          <t>A 38427-2023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45162</v>
      </c>
      <c r="E118" s="1" t="n">
        <v>46311</v>
      </c>
      <c r="F118" t="inlineStr">
        <is>
          <t>KRONOBERGS LÄN</t>
        </is>
      </c>
      <c r="G118" t="inlineStr">
        <is>
          <t>LJUNGBY</t>
        </is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s="2" t="inlineStr">
        <is>
          <t>Vanlig snok</t>
        </is>
      </c>
      <c r="W118">
        <f>HYPERLINK("https://klasma.github.io/Logging_0781/artfynd/A 38427-2023 artfynd.xlsx", "A 38427-2023")</f>
        <v/>
      </c>
      <c r="X118">
        <f>HYPERLINK("https://klasma.github.io/Logging_0781/kartor/A 38427-2023 karta.png", "A 38427-2023")</f>
        <v/>
      </c>
      <c r="Y118">
        <f>HYPERLINK("https://klasma.github.io/Logging_0781/kartor_geotiff/A 38427-2023 georefererad karta.tif", "A 38427-2023")</f>
        <v/>
      </c>
      <c r="AA118">
        <f>HYPERLINK("https://klasma.github.io/Logging_0781/klagomål/A 38427-2023 FSC-klagomål.docx", "A 38427-2023")</f>
        <v/>
      </c>
      <c r="AB118">
        <f>HYPERLINK("https://klasma.github.io/Logging_0781/klagomålsmail/A 38427-2023 FSC-klagomål mail.docx", "A 38427-2023")</f>
        <v/>
      </c>
      <c r="AC118">
        <f>HYPERLINK("https://klasma.github.io/Logging_0781/tillsyn/A 38427-2023 tillsynsbegäran.docx", "A 38427-2023")</f>
        <v/>
      </c>
      <c r="AD118">
        <f>HYPERLINK("https://klasma.github.io/Logging_0781/tillsynsmail/A 38427-2023 tillsynsbegäran mail.docx", "A 38427-2023")</f>
        <v/>
      </c>
    </row>
    <row r="119" ht="15" customHeight="1">
      <c r="A119" t="inlineStr">
        <is>
          <t>A 56742-2025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45978</v>
      </c>
      <c r="E119" s="1" t="n">
        <v>46311</v>
      </c>
      <c r="F119" t="inlineStr">
        <is>
          <t>KRONOBERGS LÄN</t>
        </is>
      </c>
      <c r="G119" t="inlineStr">
        <is>
          <t>LJUNGBY</t>
        </is>
      </c>
      <c r="I119" t="n">
        <v>0.4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s="2" t="inlineStr">
        <is>
          <t>Granbräken</t>
        </is>
      </c>
      <c r="W119">
        <f>HYPERLINK("https://klasma.github.io/Logging_0781/artfynd/A 56742-2025 artfynd.xlsx", "A 56742-2025")</f>
        <v/>
      </c>
      <c r="X119">
        <f>HYPERLINK("https://klasma.github.io/Logging_0781/kartor/A 56742-2025 karta.png", "A 56742-2025")</f>
        <v/>
      </c>
      <c r="Y119">
        <f>HYPERLINK("https://klasma.github.io/Logging_0781/kartor_geotiff/A 56742-2025 georefererad karta.tif", "A 56742-2025")</f>
        <v/>
      </c>
      <c r="AA119">
        <f>HYPERLINK("https://klasma.github.io/Logging_0781/klagomål/A 56742-2025 FSC-klagomål.docx", "A 56742-2025")</f>
        <v/>
      </c>
      <c r="AB119">
        <f>HYPERLINK("https://klasma.github.io/Logging_0781/klagomålsmail/A 56742-2025 FSC-klagomål mail.docx", "A 56742-2025")</f>
        <v/>
      </c>
      <c r="AC119">
        <f>HYPERLINK("https://klasma.github.io/Logging_0781/tillsyn/A 56742-2025 tillsynsbegäran.docx", "A 56742-2025")</f>
        <v/>
      </c>
      <c r="AD119">
        <f>HYPERLINK("https://klasma.github.io/Logging_0781/tillsynsmail/A 56742-2025 tillsynsbegäran mail.docx", "A 56742-2025")</f>
        <v/>
      </c>
    </row>
    <row r="120" ht="15" customHeight="1">
      <c r="A120" t="inlineStr">
        <is>
          <t>A 13460-2023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45005</v>
      </c>
      <c r="E120" s="1" t="n">
        <v>46311</v>
      </c>
      <c r="F120" t="inlineStr">
        <is>
          <t>KRONOBERGS LÄN</t>
        </is>
      </c>
      <c r="G120" t="inlineStr">
        <is>
          <t>LJUNGBY</t>
        </is>
      </c>
      <c r="I120" t="n">
        <v>5.1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s="2" t="inlineStr">
        <is>
          <t>Spillkråka</t>
        </is>
      </c>
      <c r="W120">
        <f>HYPERLINK("https://klasma.github.io/Logging_0781/artfynd/A 13460-2023 artfynd.xlsx", "A 13460-2023")</f>
        <v/>
      </c>
      <c r="X120">
        <f>HYPERLINK("https://klasma.github.io/Logging_0781/kartor/A 13460-2023 karta.png", "A 13460-2023")</f>
        <v/>
      </c>
      <c r="Y120">
        <f>HYPERLINK("https://klasma.github.io/Logging_0781/kartor_geotiff/A 13460-2023 georefererad karta.tif", "A 13460-2023")</f>
        <v/>
      </c>
      <c r="AA120">
        <f>HYPERLINK("https://klasma.github.io/Logging_0781/klagomål/A 13460-2023 FSC-klagomål.docx", "A 13460-2023")</f>
        <v/>
      </c>
      <c r="AB120">
        <f>HYPERLINK("https://klasma.github.io/Logging_0781/klagomålsmail/A 13460-2023 FSC-klagomål mail.docx", "A 13460-2023")</f>
        <v/>
      </c>
      <c r="AC120">
        <f>HYPERLINK("https://klasma.github.io/Logging_0781/tillsyn/A 13460-2023 tillsynsbegäran.docx", "A 13460-2023")</f>
        <v/>
      </c>
      <c r="AD120">
        <f>HYPERLINK("https://klasma.github.io/Logging_0781/tillsynsmail/A 13460-2023 tillsynsbegäran mail.docx", "A 13460-2023")</f>
        <v/>
      </c>
      <c r="AE120">
        <f>HYPERLINK("https://klasma.github.io/Logging_0781/fåglar/A 13460-2023 prioriterade fågelarter.docx", "A 13460-2023")</f>
        <v/>
      </c>
    </row>
    <row r="121" ht="15" customHeight="1">
      <c r="A121" t="inlineStr">
        <is>
          <t>A 15922-2025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45749</v>
      </c>
      <c r="E121" s="1" t="n">
        <v>46311</v>
      </c>
      <c r="F121" t="inlineStr">
        <is>
          <t>KRONOBERGS LÄN</t>
        </is>
      </c>
      <c r="G121" t="inlineStr">
        <is>
          <t>LJUNGBY</t>
        </is>
      </c>
      <c r="I121" t="n">
        <v>4.4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Kungsörn</t>
        </is>
      </c>
      <c r="W121">
        <f>HYPERLINK("https://klasma.github.io/Logging_0781/artfynd/A 15922-2025 artfynd.xlsx", "A 15922-2025")</f>
        <v/>
      </c>
      <c r="X121">
        <f>HYPERLINK("https://klasma.github.io/Logging_0781/kartor/A 15922-2025 karta.png", "A 15922-2025")</f>
        <v/>
      </c>
      <c r="Y121">
        <f>HYPERLINK("https://klasma.github.io/Logging_0781/kartor_geotiff/A 15922-2025 georefererad karta.tif", "A 15922-2025")</f>
        <v/>
      </c>
      <c r="AA121">
        <f>HYPERLINK("https://klasma.github.io/Logging_0781/klagomål/A 15922-2025 FSC-klagomål.docx", "A 15922-2025")</f>
        <v/>
      </c>
      <c r="AB121">
        <f>HYPERLINK("https://klasma.github.io/Logging_0781/klagomålsmail/A 15922-2025 FSC-klagomål mail.docx", "A 15922-2025")</f>
        <v/>
      </c>
      <c r="AC121">
        <f>HYPERLINK("https://klasma.github.io/Logging_0781/tillsyn/A 15922-2025 tillsynsbegäran.docx", "A 15922-2025")</f>
        <v/>
      </c>
      <c r="AD121">
        <f>HYPERLINK("https://klasma.github.io/Logging_0781/tillsynsmail/A 15922-2025 tillsynsbegäran mail.docx", "A 15922-2025")</f>
        <v/>
      </c>
      <c r="AE121">
        <f>HYPERLINK("https://klasma.github.io/Logging_0781/fåglar/A 15922-2025 prioriterade fågelarter.docx", "A 15922-2025")</f>
        <v/>
      </c>
    </row>
    <row r="122" ht="15" customHeight="1">
      <c r="A122" t="inlineStr">
        <is>
          <t>A 62153-2025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46006</v>
      </c>
      <c r="E122" s="1" t="n">
        <v>46311</v>
      </c>
      <c r="F122" t="inlineStr">
        <is>
          <t>KRONOBERGS LÄN</t>
        </is>
      </c>
      <c r="G122" t="inlineStr">
        <is>
          <t>LJUNGBY</t>
        </is>
      </c>
      <c r="I122" t="n">
        <v>0.5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s="2" t="inlineStr">
        <is>
          <t>Havsörn</t>
        </is>
      </c>
      <c r="W122">
        <f>HYPERLINK("https://klasma.github.io/Logging_0781/artfynd/A 62153-2025 artfynd.xlsx", "A 62153-2025")</f>
        <v/>
      </c>
      <c r="X122">
        <f>HYPERLINK("https://klasma.github.io/Logging_0781/kartor/A 62153-2025 karta.png", "A 62153-2025")</f>
        <v/>
      </c>
      <c r="Y122">
        <f>HYPERLINK("https://klasma.github.io/Logging_0781/kartor_geotiff/A 62153-2025 georefererad karta.tif", "A 62153-2025")</f>
        <v/>
      </c>
      <c r="AA122">
        <f>HYPERLINK("https://klasma.github.io/Logging_0781/klagomål/A 62153-2025 FSC-klagomål.docx", "A 62153-2025")</f>
        <v/>
      </c>
      <c r="AB122">
        <f>HYPERLINK("https://klasma.github.io/Logging_0781/klagomålsmail/A 62153-2025 FSC-klagomål mail.docx", "A 62153-2025")</f>
        <v/>
      </c>
      <c r="AC122">
        <f>HYPERLINK("https://klasma.github.io/Logging_0781/tillsyn/A 62153-2025 tillsynsbegäran.docx", "A 62153-2025")</f>
        <v/>
      </c>
      <c r="AD122">
        <f>HYPERLINK("https://klasma.github.io/Logging_0781/tillsynsmail/A 62153-2025 tillsynsbegäran mail.docx", "A 62153-2025")</f>
        <v/>
      </c>
      <c r="AE122">
        <f>HYPERLINK("https://klasma.github.io/Logging_0781/fåglar/A 62153-2025 prioriterade fågelarter.docx", "A 62153-2025")</f>
        <v/>
      </c>
    </row>
    <row r="123" ht="15" customHeight="1">
      <c r="A123" t="inlineStr">
        <is>
          <t>A 40911-2024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45558</v>
      </c>
      <c r="E123" s="1" t="n">
        <v>46311</v>
      </c>
      <c r="F123" t="inlineStr">
        <is>
          <t>KRONOBERGS LÄN</t>
        </is>
      </c>
      <c r="G123" t="inlineStr">
        <is>
          <t>LJUNGBY</t>
        </is>
      </c>
      <c r="H123" t="inlineStr">
        <is>
          <t>Sveaskog</t>
        </is>
      </c>
      <c r="I123" t="n">
        <v>9.1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Revlummer</t>
        </is>
      </c>
      <c r="W123">
        <f>HYPERLINK("https://klasma.github.io/Logging_0781/artfynd/A 40911-2024 artfynd.xlsx", "A 40911-2024")</f>
        <v/>
      </c>
      <c r="X123">
        <f>HYPERLINK("https://klasma.github.io/Logging_0781/kartor/A 40911-2024 karta.png", "A 40911-2024")</f>
        <v/>
      </c>
      <c r="Y123">
        <f>HYPERLINK("https://klasma.github.io/Logging_0781/kartor_geotiff/A 40911-2024 georefererad karta.tif", "A 40911-2024")</f>
        <v/>
      </c>
      <c r="AA123">
        <f>HYPERLINK("https://klasma.github.io/Logging_0781/klagomål/A 40911-2024 FSC-klagomål.docx", "A 40911-2024")</f>
        <v/>
      </c>
      <c r="AB123">
        <f>HYPERLINK("https://klasma.github.io/Logging_0781/klagomålsmail/A 40911-2024 FSC-klagomål mail.docx", "A 40911-2024")</f>
        <v/>
      </c>
      <c r="AC123">
        <f>HYPERLINK("https://klasma.github.io/Logging_0781/tillsyn/A 40911-2024 tillsynsbegäran.docx", "A 40911-2024")</f>
        <v/>
      </c>
      <c r="AD123">
        <f>HYPERLINK("https://klasma.github.io/Logging_0781/tillsynsmail/A 40911-2024 tillsynsbegäran mail.docx", "A 40911-2024")</f>
        <v/>
      </c>
    </row>
    <row r="124" ht="15" customHeight="1">
      <c r="A124" t="inlineStr">
        <is>
          <t>A 37929-2026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46280</v>
      </c>
      <c r="E124" s="1" t="n">
        <v>46311</v>
      </c>
      <c r="F124" t="inlineStr">
        <is>
          <t>KRONOBERGS LÄN</t>
        </is>
      </c>
      <c r="G124" t="inlineStr">
        <is>
          <t>LJUNGBY</t>
        </is>
      </c>
      <c r="I124" t="n">
        <v>2.6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s="2" t="inlineStr">
        <is>
          <t>Fällmossa</t>
        </is>
      </c>
      <c r="W124">
        <f>HYPERLINK("https://klasma.github.io/Logging_0781/artfynd/A 37929-2026 artfynd.xlsx", "A 37929-2026")</f>
        <v/>
      </c>
      <c r="X124">
        <f>HYPERLINK("https://klasma.github.io/Logging_0781/kartor/A 37929-2026 karta.png", "A 37929-2026")</f>
        <v/>
      </c>
      <c r="Y124">
        <f>HYPERLINK("https://klasma.github.io/Logging_0781/kartor_geotiff/A 37929-2026 georefererad karta.tif", "A 37929-2026")</f>
        <v/>
      </c>
      <c r="AA124">
        <f>HYPERLINK("https://klasma.github.io/Logging_0781/klagomål/A 37929-2026 FSC-klagomål.docx", "A 37929-2026")</f>
        <v/>
      </c>
      <c r="AB124">
        <f>HYPERLINK("https://klasma.github.io/Logging_0781/klagomålsmail/A 37929-2026 FSC-klagomål mail.docx", "A 37929-2026")</f>
        <v/>
      </c>
      <c r="AC124">
        <f>HYPERLINK("https://klasma.github.io/Logging_0781/tillsyn/A 37929-2026 tillsynsbegäran.docx", "A 37929-2026")</f>
        <v/>
      </c>
      <c r="AD124">
        <f>HYPERLINK("https://klasma.github.io/Logging_0781/tillsynsmail/A 37929-2026 tillsynsbegäran mail.docx", "A 37929-2026")</f>
        <v/>
      </c>
    </row>
    <row r="125" ht="15" customHeight="1">
      <c r="A125" t="inlineStr">
        <is>
          <t>A 35931-2026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46266</v>
      </c>
      <c r="E125" s="1" t="n">
        <v>46311</v>
      </c>
      <c r="F125" t="inlineStr">
        <is>
          <t>KRONOBERGS LÄN</t>
        </is>
      </c>
      <c r="G125" t="inlineStr">
        <is>
          <t>LJUNGBY</t>
        </is>
      </c>
      <c r="H125" t="inlineStr">
        <is>
          <t>Kyrkan</t>
        </is>
      </c>
      <c r="I125" t="n">
        <v>3.5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Tjäder</t>
        </is>
      </c>
      <c r="W125">
        <f>HYPERLINK("https://klasma.github.io/Logging_0781/artfynd/A 35931-2026 artfynd.xlsx", "A 35931-2026")</f>
        <v/>
      </c>
      <c r="X125">
        <f>HYPERLINK("https://klasma.github.io/Logging_0781/kartor/A 35931-2026 karta.png", "A 35931-2026")</f>
        <v/>
      </c>
      <c r="Y125">
        <f>HYPERLINK("https://klasma.github.io/Logging_0781/kartor_geotiff/A 35931-2026 georefererad karta.tif", "A 35931-2026")</f>
        <v/>
      </c>
      <c r="AA125">
        <f>HYPERLINK("https://klasma.github.io/Logging_0781/klagomål/A 35931-2026 FSC-klagomål.docx", "A 35931-2026")</f>
        <v/>
      </c>
      <c r="AB125">
        <f>HYPERLINK("https://klasma.github.io/Logging_0781/klagomålsmail/A 35931-2026 FSC-klagomål mail.docx", "A 35931-2026")</f>
        <v/>
      </c>
      <c r="AC125">
        <f>HYPERLINK("https://klasma.github.io/Logging_0781/tillsyn/A 35931-2026 tillsynsbegäran.docx", "A 35931-2026")</f>
        <v/>
      </c>
      <c r="AD125">
        <f>HYPERLINK("https://klasma.github.io/Logging_0781/tillsynsmail/A 35931-2026 tillsynsbegäran mail.docx", "A 35931-2026")</f>
        <v/>
      </c>
      <c r="AE125">
        <f>HYPERLINK("https://klasma.github.io/Logging_0781/fåglar/A 35931-2026 prioriterade fågelarter.docx", "A 35931-2026")</f>
        <v/>
      </c>
    </row>
    <row r="126" ht="15" customHeight="1">
      <c r="A126" t="inlineStr">
        <is>
          <t>S 1150-2022</t>
        </is>
      </c>
      <c r="B126" t="inlineStr">
        <is>
          <t>samrådsanmälan</t>
        </is>
      </c>
      <c r="C126" t="inlineStr">
        <is>
          <t>Askåterföring</t>
        </is>
      </c>
      <c r="D126" s="1" t="n">
        <v>44616</v>
      </c>
      <c r="E126" s="1" t="n">
        <v>46311</v>
      </c>
      <c r="F126" t="inlineStr">
        <is>
          <t>KRONOBERGS LÄN</t>
        </is>
      </c>
      <c r="G126" t="inlineStr">
        <is>
          <t>LJUNGBY</t>
        </is>
      </c>
      <c r="I126" t="n">
        <v>28.7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2</v>
      </c>
      <c r="U126" t="n">
        <v>2</v>
      </c>
      <c r="V126" s="2" t="inlineStr">
        <is>
          <t>Ljungögontröst</t>
        </is>
      </c>
      <c r="W126">
        <f>HYPERLINK("https://klasma.github.io/Logging_0781/artfynd/S 1150-2022 artfynd.xlsx", "S 1150-2022")</f>
        <v/>
      </c>
      <c r="X126">
        <f>HYPERLINK("https://klasma.github.io/Logging_0781/kartor/S 1150-2022 karta.png", "S 1150-2022")</f>
        <v/>
      </c>
      <c r="Y126">
        <f>HYPERLINK("https://klasma.github.io/Logging_0781/kartor_geotiff/S 1150-2022 georefererad karta.tif", "S 1150-2022")</f>
        <v/>
      </c>
      <c r="AA126">
        <f>HYPERLINK("https://klasma.github.io/Logging_0781/klagomål/S 1150-2022 FSC-klagomål.docx", "S 1150-2022")</f>
        <v/>
      </c>
      <c r="AB126">
        <f>HYPERLINK("https://klasma.github.io/Logging_0781/klagomålsmail/S 1150-2022 FSC-klagomål mail.docx", "S 1150-2022")</f>
        <v/>
      </c>
      <c r="AC126">
        <f>HYPERLINK("https://klasma.github.io/Logging_0781/tillsyn/S 1150-2022 tillsynsbegäran.docx", "S 1150-2022")</f>
        <v/>
      </c>
      <c r="AD126">
        <f>HYPERLINK("https://klasma.github.io/Logging_0781/tillsynsmail/S 1150-2022 tillsynsbegäran mail.docx", "S 1150-2022")</f>
        <v/>
      </c>
    </row>
    <row r="127" ht="15" customHeight="1">
      <c r="A127" t="inlineStr">
        <is>
          <t>S 2062-2022</t>
        </is>
      </c>
      <c r="B127" t="inlineStr">
        <is>
          <t>samrådsanmälan</t>
        </is>
      </c>
      <c r="C127" t="inlineStr">
        <is>
          <t>Askåterföring</t>
        </is>
      </c>
      <c r="D127" s="1" t="n">
        <v>44672</v>
      </c>
      <c r="E127" s="1" t="n">
        <v>46311</v>
      </c>
      <c r="F127" t="inlineStr">
        <is>
          <t>KRONOBERGS LÄN</t>
        </is>
      </c>
      <c r="G127" t="inlineStr">
        <is>
          <t>LJUNGBY</t>
        </is>
      </c>
      <c r="I127" t="n">
        <v>5.2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s="2" t="inlineStr">
        <is>
          <t>Talltita</t>
        </is>
      </c>
      <c r="W127">
        <f>HYPERLINK("https://klasma.github.io/Logging_0781/artfynd/S 2062-2022 artfynd.xlsx", "S 2062-2022")</f>
        <v/>
      </c>
      <c r="X127">
        <f>HYPERLINK("https://klasma.github.io/Logging_0781/kartor/S 2062-2022 karta.png", "S 2062-2022")</f>
        <v/>
      </c>
      <c r="Y127">
        <f>HYPERLINK("https://klasma.github.io/Logging_0781/kartor_geotiff/S 2062-2022 georefererad karta.tif", "S 2062-2022")</f>
        <v/>
      </c>
      <c r="AA127">
        <f>HYPERLINK("https://klasma.github.io/Logging_0781/klagomål/S 2062-2022 FSC-klagomål.docx", "S 2062-2022")</f>
        <v/>
      </c>
      <c r="AB127">
        <f>HYPERLINK("https://klasma.github.io/Logging_0781/klagomålsmail/S 2062-2022 FSC-klagomål mail.docx", "S 2062-2022")</f>
        <v/>
      </c>
      <c r="AC127">
        <f>HYPERLINK("https://klasma.github.io/Logging_0781/tillsyn/S 2062-2022 tillsynsbegäran.docx", "S 2062-2022")</f>
        <v/>
      </c>
      <c r="AD127">
        <f>HYPERLINK("https://klasma.github.io/Logging_0781/tillsynsmail/S 2062-2022 tillsynsbegäran mail.docx", "S 2062-2022")</f>
        <v/>
      </c>
      <c r="AE127">
        <f>HYPERLINK("https://klasma.github.io/Logging_0781/fåglar/S 2062-2022 prioriterade fågelarter.docx", "S 2062-2022")</f>
        <v/>
      </c>
    </row>
    <row r="128" ht="15" customHeight="1">
      <c r="A128" t="inlineStr">
        <is>
          <t>S 4800-2024</t>
        </is>
      </c>
      <c r="B128" t="inlineStr">
        <is>
          <t>samrådsanmälan</t>
        </is>
      </c>
      <c r="C128" t="inlineStr">
        <is>
          <t>Askåterföring</t>
        </is>
      </c>
      <c r="D128" s="1" t="n">
        <v>45611</v>
      </c>
      <c r="E128" s="1" t="n">
        <v>46311</v>
      </c>
      <c r="F128" t="inlineStr">
        <is>
          <t>KRONOBERGS LÄN</t>
        </is>
      </c>
      <c r="G128" t="inlineStr">
        <is>
          <t>LJUNGBY</t>
        </is>
      </c>
      <c r="I128" t="n">
        <v>25.1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s="2" t="inlineStr">
        <is>
          <t>Vanlig padda</t>
        </is>
      </c>
      <c r="W128">
        <f>HYPERLINK("https://klasma.github.io/Logging_0781/artfynd/S 4800-2024 artfynd.xlsx", "S 4800-2024")</f>
        <v/>
      </c>
      <c r="X128">
        <f>HYPERLINK("https://klasma.github.io/Logging_0781/kartor/S 4800-2024 karta.png", "S 4800-2024")</f>
        <v/>
      </c>
      <c r="Y128">
        <f>HYPERLINK("https://klasma.github.io/Logging_0781/kartor_geotiff/S 4800-2024 georefererad karta.tif", "S 4800-2024")</f>
        <v/>
      </c>
      <c r="AA128">
        <f>HYPERLINK("https://klasma.github.io/Logging_0781/klagomål/S 4800-2024 FSC-klagomål.docx", "S 4800-2024")</f>
        <v/>
      </c>
      <c r="AB128">
        <f>HYPERLINK("https://klasma.github.io/Logging_0781/klagomålsmail/S 4800-2024 FSC-klagomål mail.docx", "S 4800-2024")</f>
        <v/>
      </c>
      <c r="AC128">
        <f>HYPERLINK("https://klasma.github.io/Logging_0781/tillsyn/S 4800-2024 tillsynsbegäran.docx", "S 4800-2024")</f>
        <v/>
      </c>
      <c r="AD128">
        <f>HYPERLINK("https://klasma.github.io/Logging_0781/tillsynsmail/S 4800-2024 tillsynsbegäran mail.docx", "S 4800-2024")</f>
        <v/>
      </c>
    </row>
    <row r="129" ht="15" customHeight="1">
      <c r="A129" t="inlineStr">
        <is>
          <t>S 406-2024</t>
        </is>
      </c>
      <c r="B129" t="inlineStr">
        <is>
          <t>samrådsanmälan</t>
        </is>
      </c>
      <c r="C129" t="inlineStr">
        <is>
          <t>Askåterföring</t>
        </is>
      </c>
      <c r="D129" s="1" t="n">
        <v>45335</v>
      </c>
      <c r="E129" s="1" t="n">
        <v>46311</v>
      </c>
      <c r="F129" t="inlineStr">
        <is>
          <t>KRONOBERGS LÄN</t>
        </is>
      </c>
      <c r="G129" t="inlineStr">
        <is>
          <t>LJUNGBY</t>
        </is>
      </c>
      <c r="I129" t="n">
        <v>33.5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s="2" t="inlineStr">
        <is>
          <t>Mosippa</t>
        </is>
      </c>
      <c r="W129">
        <f>HYPERLINK("https://klasma.github.io/Logging_0781/artfynd/S 406-2024 artfynd.xlsx", "S 406-2024")</f>
        <v/>
      </c>
      <c r="X129">
        <f>HYPERLINK("https://klasma.github.io/Logging_0781/kartor/S 406-2024 karta.png", "S 406-2024")</f>
        <v/>
      </c>
      <c r="Y129">
        <f>HYPERLINK("https://klasma.github.io/Logging_0781/kartor_geotiff/S 406-2024 georefererad karta.tif", "S 406-2024")</f>
        <v/>
      </c>
      <c r="AA129">
        <f>HYPERLINK("https://klasma.github.io/Logging_0781/klagomål/S 406-2024 FSC-klagomål.docx", "S 406-2024")</f>
        <v/>
      </c>
      <c r="AB129">
        <f>HYPERLINK("https://klasma.github.io/Logging_0781/klagomålsmail/S 406-2024 FSC-klagomål mail.docx", "S 406-2024")</f>
        <v/>
      </c>
      <c r="AC129">
        <f>HYPERLINK("https://klasma.github.io/Logging_0781/tillsyn/S 406-2024 tillsynsbegäran.docx", "S 406-2024")</f>
        <v/>
      </c>
      <c r="AD129">
        <f>HYPERLINK("https://klasma.github.io/Logging_0781/tillsynsmail/S 406-2024 tillsynsbegäran mail.docx", "S 406-2024")</f>
        <v/>
      </c>
    </row>
    <row r="130" ht="15" customHeight="1">
      <c r="A130" t="inlineStr">
        <is>
          <t>S 706-2023</t>
        </is>
      </c>
      <c r="B130" t="inlineStr">
        <is>
          <t>samrådsanmälan</t>
        </is>
      </c>
      <c r="C130" t="inlineStr">
        <is>
          <t>Askåterföring</t>
        </is>
      </c>
      <c r="D130" s="1" t="n">
        <v>44978</v>
      </c>
      <c r="E130" s="1" t="n">
        <v>46311</v>
      </c>
      <c r="F130" t="inlineStr">
        <is>
          <t>KRONOBERGS LÄN</t>
        </is>
      </c>
      <c r="G130" t="inlineStr">
        <is>
          <t>LJUNGBY</t>
        </is>
      </c>
      <c r="I130" t="n">
        <v>66.7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Korallrot</t>
        </is>
      </c>
      <c r="W130">
        <f>HYPERLINK("https://klasma.github.io/Logging_0781/artfynd/S 706-2023 artfynd.xlsx", "S 706-2023")</f>
        <v/>
      </c>
      <c r="X130">
        <f>HYPERLINK("https://klasma.github.io/Logging_0781/kartor/S 706-2023 karta.png", "S 706-2023")</f>
        <v/>
      </c>
      <c r="Y130">
        <f>HYPERLINK("https://klasma.github.io/Logging_0781/kartor_geotiff/S 706-2023 georefererad karta.tif", "S 706-2023")</f>
        <v/>
      </c>
      <c r="AA130">
        <f>HYPERLINK("https://klasma.github.io/Logging_0781/klagomål/S 706-2023 FSC-klagomål.docx", "S 706-2023")</f>
        <v/>
      </c>
      <c r="AB130">
        <f>HYPERLINK("https://klasma.github.io/Logging_0781/klagomålsmail/S 706-2023 FSC-klagomål mail.docx", "S 706-2023")</f>
        <v/>
      </c>
      <c r="AC130">
        <f>HYPERLINK("https://klasma.github.io/Logging_0781/tillsyn/S 706-2023 tillsynsbegäran.docx", "S 706-2023")</f>
        <v/>
      </c>
      <c r="AD130">
        <f>HYPERLINK("https://klasma.github.io/Logging_0781/tillsynsmail/S 706-2023 tillsynsbegäran mail.docx", "S 706-2023")</f>
        <v/>
      </c>
    </row>
    <row r="131" ht="15" customHeight="1">
      <c r="A131" t="inlineStr">
        <is>
          <t>S 5421-2022</t>
        </is>
      </c>
      <c r="B131" t="inlineStr">
        <is>
          <t>samrådsanmälan</t>
        </is>
      </c>
      <c r="C131" t="inlineStr">
        <is>
          <t>Askåterföring</t>
        </is>
      </c>
      <c r="D131" s="1" t="n">
        <v>44831</v>
      </c>
      <c r="E131" s="1" t="n">
        <v>46311</v>
      </c>
      <c r="F131" t="inlineStr">
        <is>
          <t>KRONOBERGS LÄN</t>
        </is>
      </c>
      <c r="G131" t="inlineStr">
        <is>
          <t>LJUNGBY</t>
        </is>
      </c>
      <c r="I131" t="n">
        <v>20.5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s="2" t="inlineStr">
        <is>
          <t>Revlummer</t>
        </is>
      </c>
      <c r="W131">
        <f>HYPERLINK("https://klasma.github.io/Logging_0781/artfynd/S 5421-2022 artfynd.xlsx", "S 5421-2022")</f>
        <v/>
      </c>
      <c r="X131">
        <f>HYPERLINK("https://klasma.github.io/Logging_0781/kartor/S 5421-2022 karta.png", "S 5421-2022")</f>
        <v/>
      </c>
      <c r="Y131">
        <f>HYPERLINK("https://klasma.github.io/Logging_0781/kartor_geotiff/S 5421-2022 georefererad karta.tif", "S 5421-2022")</f>
        <v/>
      </c>
      <c r="AA131">
        <f>HYPERLINK("https://klasma.github.io/Logging_0781/klagomål/S 5421-2022 FSC-klagomål.docx", "S 5421-2022")</f>
        <v/>
      </c>
      <c r="AB131">
        <f>HYPERLINK("https://klasma.github.io/Logging_0781/klagomålsmail/S 5421-2022 FSC-klagomål mail.docx", "S 5421-2022")</f>
        <v/>
      </c>
      <c r="AC131">
        <f>HYPERLINK("https://klasma.github.io/Logging_0781/tillsyn/S 5421-2022 tillsynsbegäran.docx", "S 5421-2022")</f>
        <v/>
      </c>
      <c r="AD131">
        <f>HYPERLINK("https://klasma.github.io/Logging_0781/tillsynsmail/S 5421-2022 tillsynsbegäran mail.docx", "S 5421-2022")</f>
        <v/>
      </c>
    </row>
    <row r="132" ht="15" customHeight="1">
      <c r="A132" t="inlineStr">
        <is>
          <t>S 6198-2022</t>
        </is>
      </c>
      <c r="B132" t="inlineStr">
        <is>
          <t>samrådsanmälan</t>
        </is>
      </c>
      <c r="C132" t="inlineStr">
        <is>
          <t>Askåterföring</t>
        </is>
      </c>
      <c r="D132" s="1" t="n">
        <v>44869</v>
      </c>
      <c r="E132" s="1" t="n">
        <v>46311</v>
      </c>
      <c r="F132" t="inlineStr">
        <is>
          <t>KRONOBERGS LÄN</t>
        </is>
      </c>
      <c r="G132" t="inlineStr">
        <is>
          <t>LJUNGBY</t>
        </is>
      </c>
      <c r="I132" t="n">
        <v>22.3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Svinrot</t>
        </is>
      </c>
      <c r="W132">
        <f>HYPERLINK("https://klasma.github.io/Logging_0781/artfynd/S 6198-2022 artfynd.xlsx", "S 6198-2022")</f>
        <v/>
      </c>
      <c r="X132">
        <f>HYPERLINK("https://klasma.github.io/Logging_0781/kartor/S 6198-2022 karta.png", "S 6198-2022")</f>
        <v/>
      </c>
      <c r="Y132">
        <f>HYPERLINK("https://klasma.github.io/Logging_0781/kartor_geotiff/S 6198-2022 georefererad karta.tif", "S 6198-2022")</f>
        <v/>
      </c>
      <c r="AA132">
        <f>HYPERLINK("https://klasma.github.io/Logging_0781/klagomål/S 6198-2022 FSC-klagomål.docx", "S 6198-2022")</f>
        <v/>
      </c>
      <c r="AB132">
        <f>HYPERLINK("https://klasma.github.io/Logging_0781/klagomålsmail/S 6198-2022 FSC-klagomål mail.docx", "S 6198-2022")</f>
        <v/>
      </c>
      <c r="AC132">
        <f>HYPERLINK("https://klasma.github.io/Logging_0781/tillsyn/S 6198-2022 tillsynsbegäran.docx", "S 6198-2022")</f>
        <v/>
      </c>
      <c r="AD132">
        <f>HYPERLINK("https://klasma.github.io/Logging_0781/tillsynsmail/S 6198-2022 tillsynsbegäran mail.docx", "S 6198-2022")</f>
        <v/>
      </c>
    </row>
    <row r="133" ht="15" customHeight="1">
      <c r="A133" t="inlineStr">
        <is>
          <t>S 1338-2025</t>
        </is>
      </c>
      <c r="B133" t="inlineStr">
        <is>
          <t>samrådsanmälan</t>
        </is>
      </c>
      <c r="C133" t="inlineStr">
        <is>
          <t>Askåterföring</t>
        </is>
      </c>
      <c r="D133" s="1" t="n">
        <v>45772</v>
      </c>
      <c r="E133" s="1" t="n">
        <v>46311</v>
      </c>
      <c r="F133" t="inlineStr">
        <is>
          <t>KRONOBERGS LÄN</t>
        </is>
      </c>
      <c r="G133" t="inlineStr">
        <is>
          <t>LJUNGBY</t>
        </is>
      </c>
      <c r="I133" t="n">
        <v>14.5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s="2" t="inlineStr">
        <is>
          <t>Sjötåtel</t>
        </is>
      </c>
      <c r="W133">
        <f>HYPERLINK("https://klasma.github.io/Logging_0781/artfynd/S 1338-2025 artfynd.xlsx", "S 1338-2025")</f>
        <v/>
      </c>
      <c r="X133">
        <f>HYPERLINK("https://klasma.github.io/Logging_0781/kartor/S 1338-2025 karta.png", "S 1338-2025")</f>
        <v/>
      </c>
      <c r="Y133">
        <f>HYPERLINK("https://klasma.github.io/Logging_0781/kartor_geotiff/S 1338-2025 georefererad karta.tif", "S 1338-2025")</f>
        <v/>
      </c>
      <c r="AA133">
        <f>HYPERLINK("https://klasma.github.io/Logging_0781/klagomål/S 1338-2025 FSC-klagomål.docx", "S 1338-2025")</f>
        <v/>
      </c>
      <c r="AB133">
        <f>HYPERLINK("https://klasma.github.io/Logging_0781/klagomålsmail/S 1338-2025 FSC-klagomål mail.docx", "S 1338-2025")</f>
        <v/>
      </c>
      <c r="AC133">
        <f>HYPERLINK("https://klasma.github.io/Logging_0781/tillsyn/S 1338-2025 tillsynsbegäran.docx", "S 1338-2025")</f>
        <v/>
      </c>
      <c r="AD133">
        <f>HYPERLINK("https://klasma.github.io/Logging_0781/tillsynsmail/S 1338-2025 tillsynsbegäran mail.docx", "S 1338-2025")</f>
        <v/>
      </c>
    </row>
    <row r="134" ht="15" customHeight="1">
      <c r="A134" t="inlineStr">
        <is>
          <t>S 1250-2026</t>
        </is>
      </c>
      <c r="B134" t="inlineStr">
        <is>
          <t>samrådsanmälan</t>
        </is>
      </c>
      <c r="C134" t="inlineStr">
        <is>
          <t>Askåterföring</t>
        </is>
      </c>
      <c r="D134" s="1" t="n">
        <v>46146</v>
      </c>
      <c r="E134" s="1" t="n">
        <v>46311</v>
      </c>
      <c r="F134" t="inlineStr">
        <is>
          <t>KRONOBERGS LÄN</t>
        </is>
      </c>
      <c r="G134" t="inlineStr">
        <is>
          <t>LJUNGBY</t>
        </is>
      </c>
      <c r="I134" t="n">
        <v>11.5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Jungfrulin</t>
        </is>
      </c>
      <c r="W134">
        <f>HYPERLINK("https://klasma.github.io/Logging_0781/artfynd/S 1250-2026 artfynd.xlsx", "S 1250-2026")</f>
        <v/>
      </c>
      <c r="X134">
        <f>HYPERLINK("https://klasma.github.io/Logging_0781/kartor/S 1250-2026 karta.png", "S 1250-2026")</f>
        <v/>
      </c>
      <c r="Y134">
        <f>HYPERLINK("https://klasma.github.io/Logging_0781/kartor_geotiff/S 1250-2026 georefererad karta.tif", "S 1250-2026")</f>
        <v/>
      </c>
      <c r="AA134">
        <f>HYPERLINK("https://klasma.github.io/Logging_0781/klagomål/S 1250-2026 FSC-klagomål.docx", "S 1250-2026")</f>
        <v/>
      </c>
      <c r="AB134">
        <f>HYPERLINK("https://klasma.github.io/Logging_0781/klagomålsmail/S 1250-2026 FSC-klagomål mail.docx", "S 1250-2026")</f>
        <v/>
      </c>
      <c r="AC134">
        <f>HYPERLINK("https://klasma.github.io/Logging_0781/tillsyn/S 1250-2026 tillsynsbegäran.docx", "S 1250-2026")</f>
        <v/>
      </c>
      <c r="AD134">
        <f>HYPERLINK("https://klasma.github.io/Logging_0781/tillsynsmail/S 1250-2026 tillsynsbegäran mail.docx", "S 1250-2026")</f>
        <v/>
      </c>
    </row>
    <row r="135" ht="15" customHeight="1">
      <c r="A135" t="inlineStr">
        <is>
          <t>S 1560-2026</t>
        </is>
      </c>
      <c r="B135" t="inlineStr">
        <is>
          <t>samrådsanmälan</t>
        </is>
      </c>
      <c r="C135" t="inlineStr">
        <is>
          <t>Annan skogsbruksåtgärd</t>
        </is>
      </c>
      <c r="D135" s="1" t="n">
        <v>46168</v>
      </c>
      <c r="E135" s="1" t="n">
        <v>46311</v>
      </c>
      <c r="F135" t="inlineStr">
        <is>
          <t>KRONOBERGS LÄN</t>
        </is>
      </c>
      <c r="G135" t="inlineStr">
        <is>
          <t>LJUNGBY</t>
        </is>
      </c>
      <c r="I135" t="n">
        <v>8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9</v>
      </c>
      <c r="U135" t="n">
        <v>0</v>
      </c>
      <c r="V135" s="2" t="inlineStr">
        <is>
          <t>Gullpudra</t>
        </is>
      </c>
      <c r="W135">
        <f>HYPERLINK("https://klasma.github.io/Logging_0781/artfynd/S 1560-2026 artfynd.xlsx", "S 1560-2026")</f>
        <v/>
      </c>
      <c r="X135">
        <f>HYPERLINK("https://klasma.github.io/Logging_0781/kartor/S 1560-2026 karta.png", "S 1560-2026")</f>
        <v/>
      </c>
      <c r="Y135">
        <f>HYPERLINK("https://klasma.github.io/Logging_0781/kartor_geotiff/S 1560-2026 georefererad karta.tif", "S 1560-2026")</f>
        <v/>
      </c>
      <c r="AA135">
        <f>HYPERLINK("https://klasma.github.io/Logging_0781/klagomål/S 1560-2026 FSC-klagomål.docx", "S 1560-2026")</f>
        <v/>
      </c>
      <c r="AB135">
        <f>HYPERLINK("https://klasma.github.io/Logging_0781/klagomålsmail/S 1560-2026 FSC-klagomål mail.docx", "S 1560-2026")</f>
        <v/>
      </c>
      <c r="AC135">
        <f>HYPERLINK("https://klasma.github.io/Logging_0781/tillsyn/S 1560-2026 tillsynsbegäran.docx", "S 1560-2026")</f>
        <v/>
      </c>
      <c r="AD135">
        <f>HYPERLINK("https://klasma.github.io/Logging_0781/tillsynsmail/S 1560-2026 tillsynsbegäran mail.docx", "S 1560-2026")</f>
        <v/>
      </c>
    </row>
    <row r="136" ht="15" customHeight="1">
      <c r="A136" t="inlineStr">
        <is>
          <t>S 1877-2026</t>
        </is>
      </c>
      <c r="B136" t="inlineStr">
        <is>
          <t>samrådsanmälan</t>
        </is>
      </c>
      <c r="C136" t="inlineStr">
        <is>
          <t>Annan skogsbruksåtgärd</t>
        </is>
      </c>
      <c r="D136" s="1" t="n">
        <v>46202</v>
      </c>
      <c r="E136" s="1" t="n">
        <v>46311</v>
      </c>
      <c r="F136" t="inlineStr">
        <is>
          <t>KRONOBERGS LÄN</t>
        </is>
      </c>
      <c r="G136" t="inlineStr">
        <is>
          <t>LJUNGBY</t>
        </is>
      </c>
      <c r="I136" t="n">
        <v>6.5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s="2" t="inlineStr">
        <is>
          <t>Rostfläck</t>
        </is>
      </c>
      <c r="W136">
        <f>HYPERLINK("https://klasma.github.io/Logging_0781/artfynd/S 1877-2026 artfynd.xlsx", "S 1877-2026")</f>
        <v/>
      </c>
      <c r="X136">
        <f>HYPERLINK("https://klasma.github.io/Logging_0781/kartor/S 1877-2026 karta.png", "S 1877-2026")</f>
        <v/>
      </c>
      <c r="Y136">
        <f>HYPERLINK("https://klasma.github.io/Logging_0781/kartor_geotiff/S 1877-2026 georefererad karta.tif", "S 1877-2026")</f>
        <v/>
      </c>
      <c r="AA136">
        <f>HYPERLINK("https://klasma.github.io/Logging_0781/klagomål/S 1877-2026 FSC-klagomål.docx", "S 1877-2026")</f>
        <v/>
      </c>
      <c r="AB136">
        <f>HYPERLINK("https://klasma.github.io/Logging_0781/klagomålsmail/S 1877-2026 FSC-klagomål mail.docx", "S 1877-2026")</f>
        <v/>
      </c>
      <c r="AC136">
        <f>HYPERLINK("https://klasma.github.io/Logging_0781/tillsyn/S 1877-2026 tillsynsbegäran.docx", "S 1877-2026")</f>
        <v/>
      </c>
      <c r="AD136">
        <f>HYPERLINK("https://klasma.github.io/Logging_0781/tillsynsmail/S 1877-2026 tillsynsbegäran mail.docx", "S 1877-2026")</f>
        <v/>
      </c>
    </row>
    <row r="137" ht="15" customHeight="1">
      <c r="A137" t="inlineStr">
        <is>
          <t>S 2024-2026</t>
        </is>
      </c>
      <c r="B137" t="inlineStr">
        <is>
          <t>samrådsanmälan</t>
        </is>
      </c>
      <c r="C137" t="inlineStr">
        <is>
          <t>Askåterföring</t>
        </is>
      </c>
      <c r="D137" s="1" t="n">
        <v>46210</v>
      </c>
      <c r="E137" s="1" t="n">
        <v>46311</v>
      </c>
      <c r="F137" t="inlineStr">
        <is>
          <t>KRONOBERGS LÄN</t>
        </is>
      </c>
      <c r="G137" t="inlineStr">
        <is>
          <t>LJUNGBY</t>
        </is>
      </c>
      <c r="I137" t="n">
        <v>25.5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Korallrot</t>
        </is>
      </c>
      <c r="W137">
        <f>HYPERLINK("https://klasma.github.io/Logging_0781/artfynd/S 2024-2026 artfynd.xlsx", "S 2024-2026")</f>
        <v/>
      </c>
      <c r="X137">
        <f>HYPERLINK("https://klasma.github.io/Logging_0781/kartor/S 2024-2026 karta.png", "S 2024-2026")</f>
        <v/>
      </c>
      <c r="Y137">
        <f>HYPERLINK("https://klasma.github.io/Logging_0781/kartor_geotiff/S 2024-2026 georefererad karta.tif", "S 2024-2026")</f>
        <v/>
      </c>
      <c r="AA137">
        <f>HYPERLINK("https://klasma.github.io/Logging_0781/klagomål/S 2024-2026 FSC-klagomål.docx", "S 2024-2026")</f>
        <v/>
      </c>
      <c r="AB137">
        <f>HYPERLINK("https://klasma.github.io/Logging_0781/klagomålsmail/S 2024-2026 FSC-klagomål mail.docx", "S 2024-2026")</f>
        <v/>
      </c>
      <c r="AC137">
        <f>HYPERLINK("https://klasma.github.io/Logging_0781/tillsyn/S 2024-2026 tillsynsbegäran.docx", "S 2024-2026")</f>
        <v/>
      </c>
      <c r="AD137">
        <f>HYPERLINK("https://klasma.github.io/Logging_0781/tillsynsmail/S 2024-2026 tillsynsbegäran mail.docx", "S 2024-2026")</f>
        <v/>
      </c>
    </row>
    <row r="138" ht="15" customHeight="1">
      <c r="A138" t="inlineStr">
        <is>
          <t>S 1934-2026</t>
        </is>
      </c>
      <c r="B138" t="inlineStr">
        <is>
          <t>samrådsanmälan</t>
        </is>
      </c>
      <c r="C138" t="inlineStr">
        <is>
          <t>Annan skogsbruksåtgärd</t>
        </is>
      </c>
      <c r="D138" s="1" t="n">
        <v>46206</v>
      </c>
      <c r="E138" s="1" t="n">
        <v>46311</v>
      </c>
      <c r="F138" t="inlineStr">
        <is>
          <t>KRONOBERGS LÄN</t>
        </is>
      </c>
      <c r="G138" t="inlineStr">
        <is>
          <t>LJUNGBY</t>
        </is>
      </c>
      <c r="I138" t="n">
        <v>0.2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s="2" t="inlineStr">
        <is>
          <t>Fällmossa</t>
        </is>
      </c>
      <c r="W138">
        <f>HYPERLINK("https://klasma.github.io/Logging_0781/artfynd/S 1934-2026 artfynd.xlsx", "S 1934-2026")</f>
        <v/>
      </c>
      <c r="X138">
        <f>HYPERLINK("https://klasma.github.io/Logging_0781/kartor/S 1934-2026 karta.png", "S 1934-2026")</f>
        <v/>
      </c>
      <c r="Y138">
        <f>HYPERLINK("https://klasma.github.io/Logging_0781/kartor_geotiff/S 1934-2026 georefererad karta.tif", "S 1934-2026")</f>
        <v/>
      </c>
      <c r="AA138">
        <f>HYPERLINK("https://klasma.github.io/Logging_0781/klagomål/S 1934-2026 FSC-klagomål.docx", "S 1934-2026")</f>
        <v/>
      </c>
      <c r="AB138">
        <f>HYPERLINK("https://klasma.github.io/Logging_0781/klagomålsmail/S 1934-2026 FSC-klagomål mail.docx", "S 1934-2026")</f>
        <v/>
      </c>
      <c r="AC138">
        <f>HYPERLINK("https://klasma.github.io/Logging_0781/tillsyn/S 1934-2026 tillsynsbegäran.docx", "S 1934-2026")</f>
        <v/>
      </c>
      <c r="AD138">
        <f>HYPERLINK("https://klasma.github.io/Logging_0781/tillsynsmail/S 1934-2026 tillsynsbegäran mail.docx", "S 1934-2026")</f>
        <v/>
      </c>
    </row>
    <row r="139" ht="15" customHeight="1">
      <c r="A139" t="inlineStr">
        <is>
          <t>S 2035-2026</t>
        </is>
      </c>
      <c r="B139" t="inlineStr">
        <is>
          <t>samrådsanmälan</t>
        </is>
      </c>
      <c r="C139" t="inlineStr">
        <is>
          <t>Askåterföring</t>
        </is>
      </c>
      <c r="D139" s="1" t="n">
        <v>46211</v>
      </c>
      <c r="E139" s="1" t="n">
        <v>46311</v>
      </c>
      <c r="F139" t="inlineStr">
        <is>
          <t>KRONOBERGS LÄN</t>
        </is>
      </c>
      <c r="G139" t="inlineStr">
        <is>
          <t>LJUNGBY</t>
        </is>
      </c>
      <c r="I139" t="n">
        <v>56.5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s="2" t="inlineStr">
        <is>
          <t>Brunag</t>
        </is>
      </c>
      <c r="W139">
        <f>HYPERLINK("https://klasma.github.io/Logging_0781/artfynd/S 2035-2026 artfynd.xlsx", "S 2035-2026")</f>
        <v/>
      </c>
      <c r="X139">
        <f>HYPERLINK("https://klasma.github.io/Logging_0781/kartor/S 2035-2026 karta.png", "S 2035-2026")</f>
        <v/>
      </c>
      <c r="Y139">
        <f>HYPERLINK("https://klasma.github.io/Logging_0781/kartor_geotiff/S 2035-2026 georefererad karta.tif", "S 2035-2026")</f>
        <v/>
      </c>
      <c r="AA139">
        <f>HYPERLINK("https://klasma.github.io/Logging_0781/klagomål/S 2035-2026 FSC-klagomål.docx", "S 2035-2026")</f>
        <v/>
      </c>
      <c r="AB139">
        <f>HYPERLINK("https://klasma.github.io/Logging_0781/klagomålsmail/S 2035-2026 FSC-klagomål mail.docx", "S 2035-2026")</f>
        <v/>
      </c>
      <c r="AC139">
        <f>HYPERLINK("https://klasma.github.io/Logging_0781/tillsyn/S 2035-2026 tillsynsbegäran.docx", "S 2035-2026")</f>
        <v/>
      </c>
      <c r="AD139">
        <f>HYPERLINK("https://klasma.github.io/Logging_0781/tillsynsmail/S 2035-2026 tillsynsbegäran mail.docx", "S 2035-2026")</f>
        <v/>
      </c>
    </row>
    <row r="140" ht="15" customHeight="1">
      <c r="A140" t="inlineStr">
        <is>
          <t>S 2409-2026</t>
        </is>
      </c>
      <c r="B140" t="inlineStr">
        <is>
          <t>samrådsanmälan</t>
        </is>
      </c>
      <c r="C140" t="inlineStr">
        <is>
          <t>Annan skogsbruksåtgärd</t>
        </is>
      </c>
      <c r="D140" s="1" t="n">
        <v>46279</v>
      </c>
      <c r="E140" s="1" t="n">
        <v>46311</v>
      </c>
      <c r="F140" t="inlineStr">
        <is>
          <t>KRONOBERGS LÄN</t>
        </is>
      </c>
      <c r="G140" t="inlineStr">
        <is>
          <t>LJUNGBY</t>
        </is>
      </c>
      <c r="H140" t="inlineStr">
        <is>
          <t>Sveaskog</t>
        </is>
      </c>
      <c r="I140" t="n">
        <v>1.5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s="2" t="inlineStr">
        <is>
          <t>Klippfrullania</t>
        </is>
      </c>
      <c r="W140">
        <f>HYPERLINK("https://klasma.github.io/Logging_0781/artfynd/S 2409-2026 artfynd.xlsx", "S 2409-2026")</f>
        <v/>
      </c>
      <c r="X140">
        <f>HYPERLINK("https://klasma.github.io/Logging_0781/kartor/S 2409-2026 karta.png", "S 2409-2026")</f>
        <v/>
      </c>
      <c r="Y140">
        <f>HYPERLINK("https://klasma.github.io/Logging_0781/kartor_geotiff/S 2409-2026 georefererad karta.tif", "S 2409-2026")</f>
        <v/>
      </c>
      <c r="AA140">
        <f>HYPERLINK("https://klasma.github.io/Logging_0781/klagomål/S 2409-2026 FSC-klagomål.docx", "S 2409-2026")</f>
        <v/>
      </c>
      <c r="AB140">
        <f>HYPERLINK("https://klasma.github.io/Logging_0781/klagomålsmail/S 2409-2026 FSC-klagomål mail.docx", "S 2409-2026")</f>
        <v/>
      </c>
      <c r="AC140">
        <f>HYPERLINK("https://klasma.github.io/Logging_0781/tillsyn/S 2409-2026 tillsynsbegäran.docx", "S 2409-2026")</f>
        <v/>
      </c>
      <c r="AD140">
        <f>HYPERLINK("https://klasma.github.io/Logging_0781/tillsynsmail/S 2409-2026 tillsynsbegäran mail.docx", "S 2409-2026")</f>
        <v/>
      </c>
    </row>
    <row r="141" ht="15" customHeight="1">
      <c r="A141" t="inlineStr">
        <is>
          <t>A 1032-2022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44571</v>
      </c>
      <c r="E141" s="1" t="n">
        <v>46311</v>
      </c>
      <c r="F141" t="inlineStr">
        <is>
          <t>KRONOBERGS LÄN</t>
        </is>
      </c>
      <c r="G141" t="inlineStr">
        <is>
          <t>LJUNGBY</t>
        </is>
      </c>
      <c r="I141" t="n">
        <v>0.7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22796-2022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44715</v>
      </c>
      <c r="E142" s="1" t="n">
        <v>46311</v>
      </c>
      <c r="F142" t="inlineStr">
        <is>
          <t>KRONOBERGS LÄN</t>
        </is>
      </c>
      <c r="G142" t="inlineStr">
        <is>
          <t>LJUNGBY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663-2022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44568</v>
      </c>
      <c r="E143" s="1" t="n">
        <v>46311</v>
      </c>
      <c r="F143" t="inlineStr">
        <is>
          <t>KRONOBERGS LÄN</t>
        </is>
      </c>
      <c r="G143" t="inlineStr">
        <is>
          <t>LJUNGBY</t>
        </is>
      </c>
      <c r="I143" t="n">
        <v>1.6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47398-2022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44853</v>
      </c>
      <c r="E144" s="1" t="n">
        <v>46311</v>
      </c>
      <c r="F144" t="inlineStr">
        <is>
          <t>KRONOBERGS LÄN</t>
        </is>
      </c>
      <c r="G144" t="inlineStr">
        <is>
          <t>LJUNGBY</t>
        </is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10295-2022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44622</v>
      </c>
      <c r="E145" s="1" t="n">
        <v>46311</v>
      </c>
      <c r="F145" t="inlineStr">
        <is>
          <t>KRONOBERGS LÄN</t>
        </is>
      </c>
      <c r="G145" t="inlineStr">
        <is>
          <t>LJUNGBY</t>
        </is>
      </c>
      <c r="I145" t="n">
        <v>1.2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63296-2021</t>
        </is>
      </c>
      <c r="B146" t="inlineStr">
        <is>
          <t>avverkningsanmälan</t>
        </is>
      </c>
      <c r="C146" t="inlineStr">
        <is>
          <t>Avverkning för att bevara och utveckla /försöksver</t>
        </is>
      </c>
      <c r="D146" s="1" t="n">
        <v>44508</v>
      </c>
      <c r="E146" s="1" t="n">
        <v>46311</v>
      </c>
      <c r="F146" t="inlineStr">
        <is>
          <t>KRONOBERGS LÄN</t>
        </is>
      </c>
      <c r="G146" t="inlineStr">
        <is>
          <t>LJUNGBY</t>
        </is>
      </c>
      <c r="H146" t="inlineStr">
        <is>
          <t>Sveaskog</t>
        </is>
      </c>
      <c r="I146" t="n">
        <v>1.7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7623-2022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44607</v>
      </c>
      <c r="E147" s="1" t="n">
        <v>46311</v>
      </c>
      <c r="F147" t="inlineStr">
        <is>
          <t>KRONOBERGS LÄN</t>
        </is>
      </c>
      <c r="G147" t="inlineStr">
        <is>
          <t>LJUNGBY</t>
        </is>
      </c>
      <c r="I147" t="n">
        <v>2.1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64288-2021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44510</v>
      </c>
      <c r="E148" s="1" t="n">
        <v>46311</v>
      </c>
      <c r="F148" t="inlineStr">
        <is>
          <t>KRONOBERGS LÄN</t>
        </is>
      </c>
      <c r="G148" t="inlineStr">
        <is>
          <t>LJUNGBY</t>
        </is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37481-2022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44809</v>
      </c>
      <c r="E149" s="1" t="n">
        <v>46311</v>
      </c>
      <c r="F149" t="inlineStr">
        <is>
          <t>KRONOBERGS LÄN</t>
        </is>
      </c>
      <c r="G149" t="inlineStr">
        <is>
          <t>LJUNGBY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23634-2022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44721</v>
      </c>
      <c r="E150" s="1" t="n">
        <v>46311</v>
      </c>
      <c r="F150" t="inlineStr">
        <is>
          <t>KRONOBERGS LÄN</t>
        </is>
      </c>
      <c r="G150" t="inlineStr">
        <is>
          <t>LJUNGBY</t>
        </is>
      </c>
      <c r="I150" t="n">
        <v>0.6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64153-2021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44510</v>
      </c>
      <c r="E151" s="1" t="n">
        <v>46311</v>
      </c>
      <c r="F151" t="inlineStr">
        <is>
          <t>KRONOBERGS LÄN</t>
        </is>
      </c>
      <c r="G151" t="inlineStr">
        <is>
          <t>LJUNGBY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39706-2022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44818</v>
      </c>
      <c r="E152" s="1" t="n">
        <v>46311</v>
      </c>
      <c r="F152" t="inlineStr">
        <is>
          <t>KRONOBERGS LÄN</t>
        </is>
      </c>
      <c r="G152" t="inlineStr">
        <is>
          <t>LJUNGBY</t>
        </is>
      </c>
      <c r="I152" t="n">
        <v>0.6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46357-2022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44848</v>
      </c>
      <c r="E153" s="1" t="n">
        <v>46311</v>
      </c>
      <c r="F153" t="inlineStr">
        <is>
          <t>KRONOBERGS LÄN</t>
        </is>
      </c>
      <c r="G153" t="inlineStr">
        <is>
          <t>LJUNGBY</t>
        </is>
      </c>
      <c r="I153" t="n">
        <v>1.8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12014-2022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44635</v>
      </c>
      <c r="E154" s="1" t="n">
        <v>46311</v>
      </c>
      <c r="F154" t="inlineStr">
        <is>
          <t>KRONOBERGS LÄN</t>
        </is>
      </c>
      <c r="G154" t="inlineStr">
        <is>
          <t>LJUNGBY</t>
        </is>
      </c>
      <c r="I154" t="n">
        <v>0.4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62624-2021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44503</v>
      </c>
      <c r="E155" s="1" t="n">
        <v>46311</v>
      </c>
      <c r="F155" t="inlineStr">
        <is>
          <t>KRONOBERGS LÄN</t>
        </is>
      </c>
      <c r="G155" t="inlineStr">
        <is>
          <t>LJUNGBY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64233-2021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44510</v>
      </c>
      <c r="E156" s="1" t="n">
        <v>46311</v>
      </c>
      <c r="F156" t="inlineStr">
        <is>
          <t>KRONOBERGS LÄN</t>
        </is>
      </c>
      <c r="G156" t="inlineStr">
        <is>
          <t>LJUNGBY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4801-2022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44592</v>
      </c>
      <c r="E157" s="1" t="n">
        <v>46311</v>
      </c>
      <c r="F157" t="inlineStr">
        <is>
          <t>KRONOBERGS LÄN</t>
        </is>
      </c>
      <c r="G157" t="inlineStr">
        <is>
          <t>LJUNGBY</t>
        </is>
      </c>
      <c r="H157" t="inlineStr">
        <is>
          <t>Kommuner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3956-2022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44587</v>
      </c>
      <c r="E158" s="1" t="n">
        <v>46311</v>
      </c>
      <c r="F158" t="inlineStr">
        <is>
          <t>KRONOBERGS LÄN</t>
        </is>
      </c>
      <c r="G158" t="inlineStr">
        <is>
          <t>LJUNGBY</t>
        </is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27606-2022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44742</v>
      </c>
      <c r="E159" s="1" t="n">
        <v>46311</v>
      </c>
      <c r="F159" t="inlineStr">
        <is>
          <t>KRONOBERGS LÄN</t>
        </is>
      </c>
      <c r="G159" t="inlineStr">
        <is>
          <t>LJUNGBY</t>
        </is>
      </c>
      <c r="I159" t="n">
        <v>0.7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10420-2022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44623</v>
      </c>
      <c r="E160" s="1" t="n">
        <v>46311</v>
      </c>
      <c r="F160" t="inlineStr">
        <is>
          <t>KRONOBERGS LÄN</t>
        </is>
      </c>
      <c r="G160" t="inlineStr">
        <is>
          <t>LJUNGBY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13952-2022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44650</v>
      </c>
      <c r="E161" s="1" t="n">
        <v>46311</v>
      </c>
      <c r="F161" t="inlineStr">
        <is>
          <t>KRONOBERGS LÄN</t>
        </is>
      </c>
      <c r="G161" t="inlineStr">
        <is>
          <t>LJUNGBY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46309-2022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44847</v>
      </c>
      <c r="E162" s="1" t="n">
        <v>46311</v>
      </c>
      <c r="F162" t="inlineStr">
        <is>
          <t>KRONOBERGS LÄN</t>
        </is>
      </c>
      <c r="G162" t="inlineStr">
        <is>
          <t>LJUNGBY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22722-2022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44714</v>
      </c>
      <c r="E163" s="1" t="n">
        <v>46311</v>
      </c>
      <c r="F163" t="inlineStr">
        <is>
          <t>KRONOBERGS LÄN</t>
        </is>
      </c>
      <c r="G163" t="inlineStr">
        <is>
          <t>LJUNGBY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46311-2022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44847</v>
      </c>
      <c r="E164" s="1" t="n">
        <v>46311</v>
      </c>
      <c r="F164" t="inlineStr">
        <is>
          <t>KRONOBERGS LÄN</t>
        </is>
      </c>
      <c r="G164" t="inlineStr">
        <is>
          <t>LJUNGBY</t>
        </is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28988-2022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44749</v>
      </c>
      <c r="E165" s="1" t="n">
        <v>46311</v>
      </c>
      <c r="F165" t="inlineStr">
        <is>
          <t>KRONOBERGS LÄN</t>
        </is>
      </c>
      <c r="G165" t="inlineStr">
        <is>
          <t>LJUNGBY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53777-2022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44880</v>
      </c>
      <c r="E166" s="1" t="n">
        <v>46311</v>
      </c>
      <c r="F166" t="inlineStr">
        <is>
          <t>KRONOBERGS LÄN</t>
        </is>
      </c>
      <c r="G166" t="inlineStr">
        <is>
          <t>LJUNGBY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43546-2022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44837</v>
      </c>
      <c r="E167" s="1" t="n">
        <v>46311</v>
      </c>
      <c r="F167" t="inlineStr">
        <is>
          <t>KRONOBERGS LÄN</t>
        </is>
      </c>
      <c r="G167" t="inlineStr">
        <is>
          <t>LJUNGBY</t>
        </is>
      </c>
      <c r="I167" t="n">
        <v>0.6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49510-2022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44861</v>
      </c>
      <c r="E168" s="1" t="n">
        <v>46311</v>
      </c>
      <c r="F168" t="inlineStr">
        <is>
          <t>KRONOBERGS LÄN</t>
        </is>
      </c>
      <c r="G168" t="inlineStr">
        <is>
          <t>LJUNGBY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61906-2021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44502</v>
      </c>
      <c r="E169" s="1" t="n">
        <v>46311</v>
      </c>
      <c r="F169" t="inlineStr">
        <is>
          <t>KRONOBERGS LÄN</t>
        </is>
      </c>
      <c r="G169" t="inlineStr">
        <is>
          <t>LJUNGBY</t>
        </is>
      </c>
      <c r="I169" t="n">
        <v>5.6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60273-2021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44495</v>
      </c>
      <c r="E170" s="1" t="n">
        <v>46311</v>
      </c>
      <c r="F170" t="inlineStr">
        <is>
          <t>KRONOBERGS LÄN</t>
        </is>
      </c>
      <c r="G170" t="inlineStr">
        <is>
          <t>LJUNGBY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2082-2022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44576</v>
      </c>
      <c r="E171" s="1" t="n">
        <v>46311</v>
      </c>
      <c r="F171" t="inlineStr">
        <is>
          <t>KRONOBERGS LÄN</t>
        </is>
      </c>
      <c r="G171" t="inlineStr">
        <is>
          <t>LJUNGBY</t>
        </is>
      </c>
      <c r="I171" t="n">
        <v>0.9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55838-2022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44888</v>
      </c>
      <c r="E172" s="1" t="n">
        <v>46311</v>
      </c>
      <c r="F172" t="inlineStr">
        <is>
          <t>KRONOBERGS LÄN</t>
        </is>
      </c>
      <c r="G172" t="inlineStr">
        <is>
          <t>LJUNGBY</t>
        </is>
      </c>
      <c r="I172" t="n">
        <v>0.7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40892-2022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44825</v>
      </c>
      <c r="E173" s="1" t="n">
        <v>46311</v>
      </c>
      <c r="F173" t="inlineStr">
        <is>
          <t>KRONOBERGS LÄN</t>
        </is>
      </c>
      <c r="G173" t="inlineStr">
        <is>
          <t>LJUNGBY</t>
        </is>
      </c>
      <c r="I173" t="n">
        <v>0.7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347-2022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44565</v>
      </c>
      <c r="E174" s="1" t="n">
        <v>46311</v>
      </c>
      <c r="F174" t="inlineStr">
        <is>
          <t>KRONOBERGS LÄN</t>
        </is>
      </c>
      <c r="G174" t="inlineStr">
        <is>
          <t>LJUNGBY</t>
        </is>
      </c>
      <c r="I174" t="n">
        <v>0.5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30388-2022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44760</v>
      </c>
      <c r="E175" s="1" t="n">
        <v>46311</v>
      </c>
      <c r="F175" t="inlineStr">
        <is>
          <t>KRONOBERGS LÄN</t>
        </is>
      </c>
      <c r="G175" t="inlineStr">
        <is>
          <t>LJUNGBY</t>
        </is>
      </c>
      <c r="I175" t="n">
        <v>4.3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25402-2022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44732</v>
      </c>
      <c r="E176" s="1" t="n">
        <v>46311</v>
      </c>
      <c r="F176" t="inlineStr">
        <is>
          <t>KRONOBERGS LÄN</t>
        </is>
      </c>
      <c r="G176" t="inlineStr">
        <is>
          <t>LJUNGBY</t>
        </is>
      </c>
      <c r="I176" t="n">
        <v>0.7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37649-2022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44810</v>
      </c>
      <c r="E177" s="1" t="n">
        <v>46311</v>
      </c>
      <c r="F177" t="inlineStr">
        <is>
          <t>KRONOBERGS LÄN</t>
        </is>
      </c>
      <c r="G177" t="inlineStr">
        <is>
          <t>LJUNGBY</t>
        </is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37627-2022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44810</v>
      </c>
      <c r="E178" s="1" t="n">
        <v>46311</v>
      </c>
      <c r="F178" t="inlineStr">
        <is>
          <t>KRONOBERGS LÄN</t>
        </is>
      </c>
      <c r="G178" t="inlineStr">
        <is>
          <t>LJUNGBY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70400-2021</t>
        </is>
      </c>
      <c r="B179" t="inlineStr">
        <is>
          <t>avverkningsanmälan</t>
        </is>
      </c>
      <c r="C179" t="inlineStr">
        <is>
          <t>Avverkning för annat ändamål</t>
        </is>
      </c>
      <c r="D179" s="1" t="n">
        <v>44536</v>
      </c>
      <c r="E179" s="1" t="n">
        <v>46311</v>
      </c>
      <c r="F179" t="inlineStr">
        <is>
          <t>KRONOBERGS LÄN</t>
        </is>
      </c>
      <c r="G179" t="inlineStr">
        <is>
          <t>LJUNGBY</t>
        </is>
      </c>
      <c r="I179" t="n">
        <v>2.2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4073-2022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44588</v>
      </c>
      <c r="E180" s="1" t="n">
        <v>46311</v>
      </c>
      <c r="F180" t="inlineStr">
        <is>
          <t>KRONOBERGS LÄN</t>
        </is>
      </c>
      <c r="G180" t="inlineStr">
        <is>
          <t>LJUNGBY</t>
        </is>
      </c>
      <c r="I180" t="n">
        <v>0.5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73248-2021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44550</v>
      </c>
      <c r="E181" s="1" t="n">
        <v>46311</v>
      </c>
      <c r="F181" t="inlineStr">
        <is>
          <t>KRONOBERGS LÄN</t>
        </is>
      </c>
      <c r="G181" t="inlineStr">
        <is>
          <t>LJUNGBY</t>
        </is>
      </c>
      <c r="I181" t="n">
        <v>1.2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45664-2022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44845</v>
      </c>
      <c r="E182" s="1" t="n">
        <v>46311</v>
      </c>
      <c r="F182" t="inlineStr">
        <is>
          <t>KRONOBERGS LÄN</t>
        </is>
      </c>
      <c r="G182" t="inlineStr">
        <is>
          <t>LJUNGBY</t>
        </is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49593-2022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44862</v>
      </c>
      <c r="E183" s="1" t="n">
        <v>46311</v>
      </c>
      <c r="F183" t="inlineStr">
        <is>
          <t>KRONOBERGS LÄN</t>
        </is>
      </c>
      <c r="G183" t="inlineStr">
        <is>
          <t>LJUNGBY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30763-2022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44764</v>
      </c>
      <c r="E184" s="1" t="n">
        <v>46311</v>
      </c>
      <c r="F184" t="inlineStr">
        <is>
          <t>KRONOBERGS LÄN</t>
        </is>
      </c>
      <c r="G184" t="inlineStr">
        <is>
          <t>LJUNGBY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26470-2022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44739</v>
      </c>
      <c r="E185" s="1" t="n">
        <v>46311</v>
      </c>
      <c r="F185" t="inlineStr">
        <is>
          <t>KRONOBERGS LÄN</t>
        </is>
      </c>
      <c r="G185" t="inlineStr">
        <is>
          <t>LJUNGBY</t>
        </is>
      </c>
      <c r="I185" t="n">
        <v>1.6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27541-2022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44742</v>
      </c>
      <c r="E186" s="1" t="n">
        <v>46311</v>
      </c>
      <c r="F186" t="inlineStr">
        <is>
          <t>KRONOBERGS LÄN</t>
        </is>
      </c>
      <c r="G186" t="inlineStr">
        <is>
          <t>LJUNGBY</t>
        </is>
      </c>
      <c r="I186" t="n">
        <v>0.8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65037-2021</t>
        </is>
      </c>
      <c r="B187" t="inlineStr">
        <is>
          <t>avverkningsanmälan</t>
        </is>
      </c>
      <c r="C187" t="inlineStr">
        <is>
          <t>Avverkning för att bevara och utveckla /försöksver</t>
        </is>
      </c>
      <c r="D187" s="1" t="n">
        <v>44515</v>
      </c>
      <c r="E187" s="1" t="n">
        <v>46311</v>
      </c>
      <c r="F187" t="inlineStr">
        <is>
          <t>KRONOBERGS LÄN</t>
        </is>
      </c>
      <c r="G187" t="inlineStr">
        <is>
          <t>LJUNGBY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65988-2021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44517</v>
      </c>
      <c r="E188" s="1" t="n">
        <v>46311</v>
      </c>
      <c r="F188" t="inlineStr">
        <is>
          <t>KRONOBERGS LÄN</t>
        </is>
      </c>
      <c r="G188" t="inlineStr">
        <is>
          <t>LJUNGBY</t>
        </is>
      </c>
      <c r="I188" t="n">
        <v>0.7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5563-2022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44595</v>
      </c>
      <c r="E189" s="1" t="n">
        <v>46311</v>
      </c>
      <c r="F189" t="inlineStr">
        <is>
          <t>KRONOBERGS LÄN</t>
        </is>
      </c>
      <c r="G189" t="inlineStr">
        <is>
          <t>LJUNGBY</t>
        </is>
      </c>
      <c r="H189" t="inlineStr">
        <is>
          <t>Kyrkan</t>
        </is>
      </c>
      <c r="I189" t="n">
        <v>2.5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4804-2022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44592</v>
      </c>
      <c r="E190" s="1" t="n">
        <v>46311</v>
      </c>
      <c r="F190" t="inlineStr">
        <is>
          <t>KRONOBERGS LÄN</t>
        </is>
      </c>
      <c r="G190" t="inlineStr">
        <is>
          <t>LJUNGBY</t>
        </is>
      </c>
      <c r="H190" t="inlineStr">
        <is>
          <t>Kommuner</t>
        </is>
      </c>
      <c r="I190" t="n">
        <v>3.3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53535-2022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44879</v>
      </c>
      <c r="E191" s="1" t="n">
        <v>46311</v>
      </c>
      <c r="F191" t="inlineStr">
        <is>
          <t>KRONOBERGS LÄN</t>
        </is>
      </c>
      <c r="G191" t="inlineStr">
        <is>
          <t>LJUNGBY</t>
        </is>
      </c>
      <c r="I191" t="n">
        <v>2.5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42534-2022</t>
        </is>
      </c>
      <c r="B192" t="inlineStr">
        <is>
          <t>avverkningsanmälan</t>
        </is>
      </c>
      <c r="C192" t="inlineStr">
        <is>
          <t>Avverkning för annat ändamål</t>
        </is>
      </c>
      <c r="D192" s="1" t="n">
        <v>44831</v>
      </c>
      <c r="E192" s="1" t="n">
        <v>46311</v>
      </c>
      <c r="F192" t="inlineStr">
        <is>
          <t>KRONOBERGS LÄN</t>
        </is>
      </c>
      <c r="G192" t="inlineStr">
        <is>
          <t>LJUNGBY</t>
        </is>
      </c>
      <c r="I192" t="n">
        <v>3.1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8247-2022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44610</v>
      </c>
      <c r="E193" s="1" t="n">
        <v>46311</v>
      </c>
      <c r="F193" t="inlineStr">
        <is>
          <t>KRONOBERGS LÄN</t>
        </is>
      </c>
      <c r="G193" t="inlineStr">
        <is>
          <t>LJUNGBY</t>
        </is>
      </c>
      <c r="I193" t="n">
        <v>0.4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54482-2022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44882</v>
      </c>
      <c r="E194" s="1" t="n">
        <v>46311</v>
      </c>
      <c r="F194" t="inlineStr">
        <is>
          <t>KRONOBERGS LÄN</t>
        </is>
      </c>
      <c r="G194" t="inlineStr">
        <is>
          <t>LJUNGBY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39324-2022</t>
        </is>
      </c>
      <c r="B195" t="inlineStr">
        <is>
          <t>avverkningsanmälan</t>
        </is>
      </c>
      <c r="C195" t="inlineStr">
        <is>
          <t>Avverkning för annat ändamål</t>
        </is>
      </c>
      <c r="D195" s="1" t="n">
        <v>44817</v>
      </c>
      <c r="E195" s="1" t="n">
        <v>46311</v>
      </c>
      <c r="F195" t="inlineStr">
        <is>
          <t>KRONOBERGS LÄN</t>
        </is>
      </c>
      <c r="G195" t="inlineStr">
        <is>
          <t>LJUNGBY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70744-2021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44537</v>
      </c>
      <c r="E196" s="1" t="n">
        <v>46311</v>
      </c>
      <c r="F196" t="inlineStr">
        <is>
          <t>KRONOBERGS LÄN</t>
        </is>
      </c>
      <c r="G196" t="inlineStr">
        <is>
          <t>LJUNGBY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30385-2023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45111</v>
      </c>
      <c r="E197" s="1" t="n">
        <v>46311</v>
      </c>
      <c r="F197" t="inlineStr">
        <is>
          <t>KRONOBERGS LÄN</t>
        </is>
      </c>
      <c r="G197" t="inlineStr">
        <is>
          <t>LJUNGBY</t>
        </is>
      </c>
      <c r="I197" t="n">
        <v>2.3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55342-2024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45621</v>
      </c>
      <c r="E198" s="1" t="n">
        <v>46311</v>
      </c>
      <c r="F198" t="inlineStr">
        <is>
          <t>KRONOBERGS LÄN</t>
        </is>
      </c>
      <c r="G198" t="inlineStr">
        <is>
          <t>LJUNGBY</t>
        </is>
      </c>
      <c r="I198" t="n">
        <v>2.4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37198-2022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44806</v>
      </c>
      <c r="E199" s="1" t="n">
        <v>46311</v>
      </c>
      <c r="F199" t="inlineStr">
        <is>
          <t>KRONOBERGS LÄN</t>
        </is>
      </c>
      <c r="G199" t="inlineStr">
        <is>
          <t>LJUNGBY</t>
        </is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62198-2023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45267</v>
      </c>
      <c r="E200" s="1" t="n">
        <v>46311</v>
      </c>
      <c r="F200" t="inlineStr">
        <is>
          <t>KRONOBERGS LÄN</t>
        </is>
      </c>
      <c r="G200" t="inlineStr">
        <is>
          <t>LJUNGBY</t>
        </is>
      </c>
      <c r="I200" t="n">
        <v>1.1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37720-2022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44810</v>
      </c>
      <c r="E201" s="1" t="n">
        <v>46311</v>
      </c>
      <c r="F201" t="inlineStr">
        <is>
          <t>KRONOBERGS LÄN</t>
        </is>
      </c>
      <c r="G201" t="inlineStr">
        <is>
          <t>LJUNGBY</t>
        </is>
      </c>
      <c r="I201" t="n">
        <v>1.5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60364-2024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45643</v>
      </c>
      <c r="E202" s="1" t="n">
        <v>46311</v>
      </c>
      <c r="F202" t="inlineStr">
        <is>
          <t>KRONOBERGS LÄN</t>
        </is>
      </c>
      <c r="G202" t="inlineStr">
        <is>
          <t>LJUNGBY</t>
        </is>
      </c>
      <c r="I202" t="n">
        <v>0.9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22793-2022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44715</v>
      </c>
      <c r="E203" s="1" t="n">
        <v>46311</v>
      </c>
      <c r="F203" t="inlineStr">
        <is>
          <t>KRONOBERGS LÄN</t>
        </is>
      </c>
      <c r="G203" t="inlineStr">
        <is>
          <t>LJUNGBY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10849-2023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44991</v>
      </c>
      <c r="E204" s="1" t="n">
        <v>46311</v>
      </c>
      <c r="F204" t="inlineStr">
        <is>
          <t>KRONOBERGS LÄN</t>
        </is>
      </c>
      <c r="G204" t="inlineStr">
        <is>
          <t>LJUNGBY</t>
        </is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69120-2021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44530</v>
      </c>
      <c r="E205" s="1" t="n">
        <v>46311</v>
      </c>
      <c r="F205" t="inlineStr">
        <is>
          <t>KRONOBERGS LÄN</t>
        </is>
      </c>
      <c r="G205" t="inlineStr">
        <is>
          <t>LJUNGBY</t>
        </is>
      </c>
      <c r="I205" t="n">
        <v>4.9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10925-2023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44991</v>
      </c>
      <c r="E206" s="1" t="n">
        <v>46311</v>
      </c>
      <c r="F206" t="inlineStr">
        <is>
          <t>KRONOBERGS LÄN</t>
        </is>
      </c>
      <c r="G206" t="inlineStr">
        <is>
          <t>LJUNGBY</t>
        </is>
      </c>
      <c r="I206" t="n">
        <v>7.3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18233-2025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45761</v>
      </c>
      <c r="E207" s="1" t="n">
        <v>46311</v>
      </c>
      <c r="F207" t="inlineStr">
        <is>
          <t>KRONOBERGS LÄN</t>
        </is>
      </c>
      <c r="G207" t="inlineStr">
        <is>
          <t>LJUNGBY</t>
        </is>
      </c>
      <c r="I207" t="n">
        <v>1.3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37318-2023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45156</v>
      </c>
      <c r="E208" s="1" t="n">
        <v>46311</v>
      </c>
      <c r="F208" t="inlineStr">
        <is>
          <t>KRONOBERGS LÄN</t>
        </is>
      </c>
      <c r="G208" t="inlineStr">
        <is>
          <t>LJUNGBY</t>
        </is>
      </c>
      <c r="I208" t="n">
        <v>0.7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54490-2022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44882</v>
      </c>
      <c r="E209" s="1" t="n">
        <v>46311</v>
      </c>
      <c r="F209" t="inlineStr">
        <is>
          <t>KRONOBERGS LÄN</t>
        </is>
      </c>
      <c r="G209" t="inlineStr">
        <is>
          <t>LJUNGBY</t>
        </is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61141-2024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45645</v>
      </c>
      <c r="E210" s="1" t="n">
        <v>46311</v>
      </c>
      <c r="F210" t="inlineStr">
        <is>
          <t>KRONOBERGS LÄN</t>
        </is>
      </c>
      <c r="G210" t="inlineStr">
        <is>
          <t>LJUNGBY</t>
        </is>
      </c>
      <c r="I210" t="n">
        <v>5.3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60890-2021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44497</v>
      </c>
      <c r="E211" s="1" t="n">
        <v>46311</v>
      </c>
      <c r="F211" t="inlineStr">
        <is>
          <t>KRONOBERGS LÄN</t>
        </is>
      </c>
      <c r="G211" t="inlineStr">
        <is>
          <t>LJUNGBY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42232-2024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45562</v>
      </c>
      <c r="E212" s="1" t="n">
        <v>46311</v>
      </c>
      <c r="F212" t="inlineStr">
        <is>
          <t>KRONOBERGS LÄN</t>
        </is>
      </c>
      <c r="G212" t="inlineStr">
        <is>
          <t>LJUNGBY</t>
        </is>
      </c>
      <c r="I212" t="n">
        <v>1.4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20168-2023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45055</v>
      </c>
      <c r="E213" s="1" t="n">
        <v>46311</v>
      </c>
      <c r="F213" t="inlineStr">
        <is>
          <t>KRONOBERGS LÄN</t>
        </is>
      </c>
      <c r="G213" t="inlineStr">
        <is>
          <t>LJUNGBY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54716-2023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45236</v>
      </c>
      <c r="E214" s="1" t="n">
        <v>46311</v>
      </c>
      <c r="F214" t="inlineStr">
        <is>
          <t>KRONOBERGS LÄN</t>
        </is>
      </c>
      <c r="G214" t="inlineStr">
        <is>
          <t>LJUNGBY</t>
        </is>
      </c>
      <c r="I214" t="n">
        <v>2.4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60276-2021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44495</v>
      </c>
      <c r="E215" s="1" t="n">
        <v>46311</v>
      </c>
      <c r="F215" t="inlineStr">
        <is>
          <t>KRONOBERGS LÄN</t>
        </is>
      </c>
      <c r="G215" t="inlineStr">
        <is>
          <t>LJUNGBY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13229-2025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45735</v>
      </c>
      <c r="E216" s="1" t="n">
        <v>46311</v>
      </c>
      <c r="F216" t="inlineStr">
        <is>
          <t>KRONOBERGS LÄN</t>
        </is>
      </c>
      <c r="G216" t="inlineStr">
        <is>
          <t>LJUNGBY</t>
        </is>
      </c>
      <c r="I216" t="n">
        <v>2.6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10927-2023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44991</v>
      </c>
      <c r="E217" s="1" t="n">
        <v>46311</v>
      </c>
      <c r="F217" t="inlineStr">
        <is>
          <t>KRONOBERGS LÄN</t>
        </is>
      </c>
      <c r="G217" t="inlineStr">
        <is>
          <t>LJUNGBY</t>
        </is>
      </c>
      <c r="I217" t="n">
        <v>2.8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10929-2023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44991</v>
      </c>
      <c r="E218" s="1" t="n">
        <v>46311</v>
      </c>
      <c r="F218" t="inlineStr">
        <is>
          <t>KRONOBERGS LÄN</t>
        </is>
      </c>
      <c r="G218" t="inlineStr">
        <is>
          <t>LJUNGBY</t>
        </is>
      </c>
      <c r="I218" t="n">
        <v>2.3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37335-2022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44809</v>
      </c>
      <c r="E219" s="1" t="n">
        <v>46311</v>
      </c>
      <c r="F219" t="inlineStr">
        <is>
          <t>KRONOBERGS LÄN</t>
        </is>
      </c>
      <c r="G219" t="inlineStr">
        <is>
          <t>LJUNGBY</t>
        </is>
      </c>
      <c r="I219" t="n">
        <v>2.3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3876-2025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45684</v>
      </c>
      <c r="E220" s="1" t="n">
        <v>46311</v>
      </c>
      <c r="F220" t="inlineStr">
        <is>
          <t>KRONOBERGS LÄN</t>
        </is>
      </c>
      <c r="G220" t="inlineStr">
        <is>
          <t>LJUNGBY</t>
        </is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19120-2023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45048</v>
      </c>
      <c r="E221" s="1" t="n">
        <v>46311</v>
      </c>
      <c r="F221" t="inlineStr">
        <is>
          <t>KRONOBERGS LÄN</t>
        </is>
      </c>
      <c r="G221" t="inlineStr">
        <is>
          <t>LJUNGBY</t>
        </is>
      </c>
      <c r="I221" t="n">
        <v>3.1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323-2022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44565</v>
      </c>
      <c r="E222" s="1" t="n">
        <v>46311</v>
      </c>
      <c r="F222" t="inlineStr">
        <is>
          <t>KRONOBERGS LÄN</t>
        </is>
      </c>
      <c r="G222" t="inlineStr">
        <is>
          <t>LJUNGBY</t>
        </is>
      </c>
      <c r="I222" t="n">
        <v>1.2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343-2022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44565</v>
      </c>
      <c r="E223" s="1" t="n">
        <v>46311</v>
      </c>
      <c r="F223" t="inlineStr">
        <is>
          <t>KRONOBERGS LÄN</t>
        </is>
      </c>
      <c r="G223" t="inlineStr">
        <is>
          <t>LJUNGBY</t>
        </is>
      </c>
      <c r="I223" t="n">
        <v>1.1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40898-2023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45169</v>
      </c>
      <c r="E224" s="1" t="n">
        <v>46311</v>
      </c>
      <c r="F224" t="inlineStr">
        <is>
          <t>KRONOBERGS LÄN</t>
        </is>
      </c>
      <c r="G224" t="inlineStr">
        <is>
          <t>LJUNGBY</t>
        </is>
      </c>
      <c r="I224" t="n">
        <v>1.6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43757-2023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45187</v>
      </c>
      <c r="E225" s="1" t="n">
        <v>46311</v>
      </c>
      <c r="F225" t="inlineStr">
        <is>
          <t>KRONOBERGS LÄN</t>
        </is>
      </c>
      <c r="G225" t="inlineStr">
        <is>
          <t>LJUNGBY</t>
        </is>
      </c>
      <c r="I225" t="n">
        <v>1.7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43833-2023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45187</v>
      </c>
      <c r="E226" s="1" t="n">
        <v>46311</v>
      </c>
      <c r="F226" t="inlineStr">
        <is>
          <t>KRONOBERGS LÄN</t>
        </is>
      </c>
      <c r="G226" t="inlineStr">
        <is>
          <t>LJUNGBY</t>
        </is>
      </c>
      <c r="I226" t="n">
        <v>0.4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59366-2023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45253</v>
      </c>
      <c r="E227" s="1" t="n">
        <v>46311</v>
      </c>
      <c r="F227" t="inlineStr">
        <is>
          <t>KRONOBERGS LÄN</t>
        </is>
      </c>
      <c r="G227" t="inlineStr">
        <is>
          <t>LJUNGBY</t>
        </is>
      </c>
      <c r="H227" t="inlineStr">
        <is>
          <t>Kyrkan</t>
        </is>
      </c>
      <c r="I227" t="n">
        <v>0.9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39730-2022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44819</v>
      </c>
      <c r="E228" s="1" t="n">
        <v>46311</v>
      </c>
      <c r="F228" t="inlineStr">
        <is>
          <t>KRONOBERGS LÄN</t>
        </is>
      </c>
      <c r="G228" t="inlineStr">
        <is>
          <t>LJUNGBY</t>
        </is>
      </c>
      <c r="I228" t="n">
        <v>1.7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37689-2022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44810</v>
      </c>
      <c r="E229" s="1" t="n">
        <v>46311</v>
      </c>
      <c r="F229" t="inlineStr">
        <is>
          <t>KRONOBERGS LÄN</t>
        </is>
      </c>
      <c r="G229" t="inlineStr">
        <is>
          <t>LJUNGBY</t>
        </is>
      </c>
      <c r="I229" t="n">
        <v>1.5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30764-2022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44764</v>
      </c>
      <c r="E230" s="1" t="n">
        <v>46311</v>
      </c>
      <c r="F230" t="inlineStr">
        <is>
          <t>KRONOBERGS LÄN</t>
        </is>
      </c>
      <c r="G230" t="inlineStr">
        <is>
          <t>LJUNGBY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37209-2022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44806</v>
      </c>
      <c r="E231" s="1" t="n">
        <v>46311</v>
      </c>
      <c r="F231" t="inlineStr">
        <is>
          <t>KRONOBERGS LÄN</t>
        </is>
      </c>
      <c r="G231" t="inlineStr">
        <is>
          <t>LJUNGBY</t>
        </is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22119-2022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44712</v>
      </c>
      <c r="E232" s="1" t="n">
        <v>46311</v>
      </c>
      <c r="F232" t="inlineStr">
        <is>
          <t>KRONOBERGS LÄN</t>
        </is>
      </c>
      <c r="G232" t="inlineStr">
        <is>
          <t>LJUNGBY</t>
        </is>
      </c>
      <c r="I232" t="n">
        <v>1.3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37360-2022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44809</v>
      </c>
      <c r="E233" s="1" t="n">
        <v>46311</v>
      </c>
      <c r="F233" t="inlineStr">
        <is>
          <t>KRONOBERGS LÄN</t>
        </is>
      </c>
      <c r="G233" t="inlineStr">
        <is>
          <t>LJUNGBY</t>
        </is>
      </c>
      <c r="I233" t="n">
        <v>2.6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9344-2025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45714</v>
      </c>
      <c r="E234" s="1" t="n">
        <v>46311</v>
      </c>
      <c r="F234" t="inlineStr">
        <is>
          <t>KRONOBERGS LÄN</t>
        </is>
      </c>
      <c r="G234" t="inlineStr">
        <is>
          <t>LJUNGBY</t>
        </is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7273-2022</t>
        </is>
      </c>
      <c r="B235" t="inlineStr">
        <is>
          <t>avverkningsanmälan</t>
        </is>
      </c>
      <c r="C235" t="inlineStr">
        <is>
          <t>Avverkning för annat ändamål</t>
        </is>
      </c>
      <c r="D235" s="1" t="n">
        <v>44606</v>
      </c>
      <c r="E235" s="1" t="n">
        <v>46311</v>
      </c>
      <c r="F235" t="inlineStr">
        <is>
          <t>KRONOBERGS LÄN</t>
        </is>
      </c>
      <c r="G235" t="inlineStr">
        <is>
          <t>LJUNGBY</t>
        </is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22615-2023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45071</v>
      </c>
      <c r="E236" s="1" t="n">
        <v>46311</v>
      </c>
      <c r="F236" t="inlineStr">
        <is>
          <t>KRONOBERGS LÄN</t>
        </is>
      </c>
      <c r="G236" t="inlineStr">
        <is>
          <t>LJUNGBY</t>
        </is>
      </c>
      <c r="I236" t="n">
        <v>2.3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22619-2023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45071</v>
      </c>
      <c r="E237" s="1" t="n">
        <v>46311</v>
      </c>
      <c r="F237" t="inlineStr">
        <is>
          <t>KRONOBERGS LÄN</t>
        </is>
      </c>
      <c r="G237" t="inlineStr">
        <is>
          <t>LJUNGBY</t>
        </is>
      </c>
      <c r="I237" t="n">
        <v>3.8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11302-2024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45371</v>
      </c>
      <c r="E238" s="1" t="n">
        <v>46311</v>
      </c>
      <c r="F238" t="inlineStr">
        <is>
          <t>KRONOBERGS LÄN</t>
        </is>
      </c>
      <c r="G238" t="inlineStr">
        <is>
          <t>LJUNGBY</t>
        </is>
      </c>
      <c r="I238" t="n">
        <v>12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12510-2025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45730</v>
      </c>
      <c r="E239" s="1" t="n">
        <v>46311</v>
      </c>
      <c r="F239" t="inlineStr">
        <is>
          <t>KRONOBERGS LÄN</t>
        </is>
      </c>
      <c r="G239" t="inlineStr">
        <is>
          <t>LJUNGBY</t>
        </is>
      </c>
      <c r="I239" t="n">
        <v>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60248-2022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44903</v>
      </c>
      <c r="E240" s="1" t="n">
        <v>46311</v>
      </c>
      <c r="F240" t="inlineStr">
        <is>
          <t>KRONOBERGS LÄN</t>
        </is>
      </c>
      <c r="G240" t="inlineStr">
        <is>
          <t>LJUNGBY</t>
        </is>
      </c>
      <c r="I240" t="n">
        <v>2.9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62861-2023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45272</v>
      </c>
      <c r="E241" s="1" t="n">
        <v>46311</v>
      </c>
      <c r="F241" t="inlineStr">
        <is>
          <t>KRONOBERGS LÄN</t>
        </is>
      </c>
      <c r="G241" t="inlineStr">
        <is>
          <t>LJUNGBY</t>
        </is>
      </c>
      <c r="I241" t="n">
        <v>1.2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64358-2023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45280</v>
      </c>
      <c r="E242" s="1" t="n">
        <v>46311</v>
      </c>
      <c r="F242" t="inlineStr">
        <is>
          <t>KRONOBERGS LÄN</t>
        </is>
      </c>
      <c r="G242" t="inlineStr">
        <is>
          <t>LJUNGBY</t>
        </is>
      </c>
      <c r="H242" t="inlineStr">
        <is>
          <t>Kyrkan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23319-2023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45076</v>
      </c>
      <c r="E243" s="1" t="n">
        <v>46311</v>
      </c>
      <c r="F243" t="inlineStr">
        <is>
          <t>KRONOBERGS LÄN</t>
        </is>
      </c>
      <c r="G243" t="inlineStr">
        <is>
          <t>LJUNGBY</t>
        </is>
      </c>
      <c r="I243" t="n">
        <v>1.9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23600-2023</t>
        </is>
      </c>
      <c r="B244" t="inlineStr">
        <is>
          <t>avverkningsanmälan</t>
        </is>
      </c>
      <c r="C244" t="inlineStr">
        <is>
          <t>Avverkning för annat ändamål</t>
        </is>
      </c>
      <c r="D244" s="1" t="n">
        <v>45077</v>
      </c>
      <c r="E244" s="1" t="n">
        <v>46311</v>
      </c>
      <c r="F244" t="inlineStr">
        <is>
          <t>KRONOBERGS LÄN</t>
        </is>
      </c>
      <c r="G244" t="inlineStr">
        <is>
          <t>LJUNGBY</t>
        </is>
      </c>
      <c r="I244" t="n">
        <v>1.7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26926-2025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45811</v>
      </c>
      <c r="E245" s="1" t="n">
        <v>46311</v>
      </c>
      <c r="F245" t="inlineStr">
        <is>
          <t>KRONOBERGS LÄN</t>
        </is>
      </c>
      <c r="G245" t="inlineStr">
        <is>
          <t>LJUNGBY</t>
        </is>
      </c>
      <c r="I245" t="n">
        <v>2.2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26928-2025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45811</v>
      </c>
      <c r="E246" s="1" t="n">
        <v>46311</v>
      </c>
      <c r="F246" t="inlineStr">
        <is>
          <t>KRONOBERGS LÄN</t>
        </is>
      </c>
      <c r="G246" t="inlineStr">
        <is>
          <t>LJUNGBY</t>
        </is>
      </c>
      <c r="I246" t="n">
        <v>0.6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26936-2025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45811</v>
      </c>
      <c r="E247" s="1" t="n">
        <v>46311</v>
      </c>
      <c r="F247" t="inlineStr">
        <is>
          <t>KRONOBERGS LÄN</t>
        </is>
      </c>
      <c r="G247" t="inlineStr">
        <is>
          <t>LJUNGBY</t>
        </is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22087-2023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45069</v>
      </c>
      <c r="E248" s="1" t="n">
        <v>46311</v>
      </c>
      <c r="F248" t="inlineStr">
        <is>
          <t>KRONOBERGS LÄN</t>
        </is>
      </c>
      <c r="G248" t="inlineStr">
        <is>
          <t>LJUNGBY</t>
        </is>
      </c>
      <c r="I248" t="n">
        <v>1.1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21969-2023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45068</v>
      </c>
      <c r="E249" s="1" t="n">
        <v>46311</v>
      </c>
      <c r="F249" t="inlineStr">
        <is>
          <t>KRONOBERGS LÄN</t>
        </is>
      </c>
      <c r="G249" t="inlineStr">
        <is>
          <t>LJUNGBY</t>
        </is>
      </c>
      <c r="H249" t="inlineStr">
        <is>
          <t>Kommuner</t>
        </is>
      </c>
      <c r="I249" t="n">
        <v>8.9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63539-2023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45275</v>
      </c>
      <c r="E250" s="1" t="n">
        <v>46311</v>
      </c>
      <c r="F250" t="inlineStr">
        <is>
          <t>KRONOBERGS LÄN</t>
        </is>
      </c>
      <c r="G250" t="inlineStr">
        <is>
          <t>LJUNGBY</t>
        </is>
      </c>
      <c r="I250" t="n">
        <v>1.1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18961-2025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45764</v>
      </c>
      <c r="E251" s="1" t="n">
        <v>46311</v>
      </c>
      <c r="F251" t="inlineStr">
        <is>
          <t>KRONOBERGS LÄN</t>
        </is>
      </c>
      <c r="G251" t="inlineStr">
        <is>
          <t>LJUNGBY</t>
        </is>
      </c>
      <c r="I251" t="n">
        <v>1.9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4437-2025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45686</v>
      </c>
      <c r="E252" s="1" t="n">
        <v>46311</v>
      </c>
      <c r="F252" t="inlineStr">
        <is>
          <t>KRONOBERGS LÄN</t>
        </is>
      </c>
      <c r="G252" t="inlineStr">
        <is>
          <t>LJUNGBY</t>
        </is>
      </c>
      <c r="I252" t="n">
        <v>3.5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54474-2024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45617</v>
      </c>
      <c r="E253" s="1" t="n">
        <v>46311</v>
      </c>
      <c r="F253" t="inlineStr">
        <is>
          <t>KRONOBERGS LÄN</t>
        </is>
      </c>
      <c r="G253" t="inlineStr">
        <is>
          <t>LJUNGBY</t>
        </is>
      </c>
      <c r="I253" t="n">
        <v>6.2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57952-2022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44900</v>
      </c>
      <c r="E254" s="1" t="n">
        <v>46311</v>
      </c>
      <c r="F254" t="inlineStr">
        <is>
          <t>KRONOBERGS LÄN</t>
        </is>
      </c>
      <c r="G254" t="inlineStr">
        <is>
          <t>LJUNGBY</t>
        </is>
      </c>
      <c r="I254" t="n">
        <v>3.8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50896-2022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44867</v>
      </c>
      <c r="E255" s="1" t="n">
        <v>46311</v>
      </c>
      <c r="F255" t="inlineStr">
        <is>
          <t>KRONOBERGS LÄN</t>
        </is>
      </c>
      <c r="G255" t="inlineStr">
        <is>
          <t>LJUNGBY</t>
        </is>
      </c>
      <c r="I255" t="n">
        <v>2.4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60607-2023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45260</v>
      </c>
      <c r="E256" s="1" t="n">
        <v>46311</v>
      </c>
      <c r="F256" t="inlineStr">
        <is>
          <t>KRONOBERGS LÄN</t>
        </is>
      </c>
      <c r="G256" t="inlineStr">
        <is>
          <t>LJUNGBY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346-2022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44565</v>
      </c>
      <c r="E257" s="1" t="n">
        <v>46311</v>
      </c>
      <c r="F257" t="inlineStr">
        <is>
          <t>KRONOBERGS LÄN</t>
        </is>
      </c>
      <c r="G257" t="inlineStr">
        <is>
          <t>LJUNGBY</t>
        </is>
      </c>
      <c r="I257" t="n">
        <v>2.6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59696-2022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44908</v>
      </c>
      <c r="E258" s="1" t="n">
        <v>46311</v>
      </c>
      <c r="F258" t="inlineStr">
        <is>
          <t>KRONOBERGS LÄN</t>
        </is>
      </c>
      <c r="G258" t="inlineStr">
        <is>
          <t>LJUNGBY</t>
        </is>
      </c>
      <c r="H258" t="inlineStr">
        <is>
          <t>Sveaskog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40963-2022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44825</v>
      </c>
      <c r="E259" s="1" t="n">
        <v>46311</v>
      </c>
      <c r="F259" t="inlineStr">
        <is>
          <t>KRONOBERGS LÄN</t>
        </is>
      </c>
      <c r="G259" t="inlineStr">
        <is>
          <t>LJUNGBY</t>
        </is>
      </c>
      <c r="I259" t="n">
        <v>2.1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17635-2023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45036</v>
      </c>
      <c r="E260" s="1" t="n">
        <v>46311</v>
      </c>
      <c r="F260" t="inlineStr">
        <is>
          <t>KRONOBERGS LÄN</t>
        </is>
      </c>
      <c r="G260" t="inlineStr">
        <is>
          <t>LJUNGBY</t>
        </is>
      </c>
      <c r="I260" t="n">
        <v>0.8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54910-2022</t>
        </is>
      </c>
      <c r="B261" t="inlineStr">
        <is>
          <t>avverkningsanmälan</t>
        </is>
      </c>
      <c r="C261" t="inlineStr">
        <is>
          <t>Avverkning för annat ändamål</t>
        </is>
      </c>
      <c r="D261" s="1" t="n">
        <v>44886</v>
      </c>
      <c r="E261" s="1" t="n">
        <v>46311</v>
      </c>
      <c r="F261" t="inlineStr">
        <is>
          <t>KRONOBERGS LÄN</t>
        </is>
      </c>
      <c r="G261" t="inlineStr">
        <is>
          <t>LJUNGBY</t>
        </is>
      </c>
      <c r="I261" t="n">
        <v>3.3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3527-2022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44585</v>
      </c>
      <c r="E262" s="1" t="n">
        <v>46311</v>
      </c>
      <c r="F262" t="inlineStr">
        <is>
          <t>KRONOBERGS LÄN</t>
        </is>
      </c>
      <c r="G262" t="inlineStr">
        <is>
          <t>LJUNGBY</t>
        </is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54984-2024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45620</v>
      </c>
      <c r="E263" s="1" t="n">
        <v>46311</v>
      </c>
      <c r="F263" t="inlineStr">
        <is>
          <t>KRONOBERGS LÄN</t>
        </is>
      </c>
      <c r="G263" t="inlineStr">
        <is>
          <t>LJUNGBY</t>
        </is>
      </c>
      <c r="I263" t="n">
        <v>5.5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4336-2024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45324</v>
      </c>
      <c r="E264" s="1" t="n">
        <v>46311</v>
      </c>
      <c r="F264" t="inlineStr">
        <is>
          <t>KRONOBERGS LÄN</t>
        </is>
      </c>
      <c r="G264" t="inlineStr">
        <is>
          <t>LJUNGBY</t>
        </is>
      </c>
      <c r="I264" t="n">
        <v>3.1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18403-2025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45762</v>
      </c>
      <c r="E265" s="1" t="n">
        <v>46311</v>
      </c>
      <c r="F265" t="inlineStr">
        <is>
          <t>KRONOBERGS LÄN</t>
        </is>
      </c>
      <c r="G265" t="inlineStr">
        <is>
          <t>LJUNGBY</t>
        </is>
      </c>
      <c r="I265" t="n">
        <v>4.9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27972-2025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45817</v>
      </c>
      <c r="E266" s="1" t="n">
        <v>46311</v>
      </c>
      <c r="F266" t="inlineStr">
        <is>
          <t>KRONOBERGS LÄN</t>
        </is>
      </c>
      <c r="G266" t="inlineStr">
        <is>
          <t>LJUNGBY</t>
        </is>
      </c>
      <c r="I266" t="n">
        <v>2.2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33176-2024</t>
        </is>
      </c>
      <c r="B267" t="inlineStr">
        <is>
          <t>avverkningsanmälan</t>
        </is>
      </c>
      <c r="C267" t="inlineStr">
        <is>
          <t>Avverkning för annat ändamål</t>
        </is>
      </c>
      <c r="D267" s="1" t="n">
        <v>45518</v>
      </c>
      <c r="E267" s="1" t="n">
        <v>46311</v>
      </c>
      <c r="F267" t="inlineStr">
        <is>
          <t>KRONOBERGS LÄN</t>
        </is>
      </c>
      <c r="G267" t="inlineStr">
        <is>
          <t>LJUNGBY</t>
        </is>
      </c>
      <c r="I267" t="n">
        <v>3.1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28334-2025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45818</v>
      </c>
      <c r="E268" s="1" t="n">
        <v>46311</v>
      </c>
      <c r="F268" t="inlineStr">
        <is>
          <t>KRONOBERGS LÄN</t>
        </is>
      </c>
      <c r="G268" t="inlineStr">
        <is>
          <t>LJUNGBY</t>
        </is>
      </c>
      <c r="I268" t="n">
        <v>0.8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73342-2021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44551</v>
      </c>
      <c r="E269" s="1" t="n">
        <v>46311</v>
      </c>
      <c r="F269" t="inlineStr">
        <is>
          <t>KRONOBERGS LÄN</t>
        </is>
      </c>
      <c r="G269" t="inlineStr">
        <is>
          <t>LJUNGBY</t>
        </is>
      </c>
      <c r="I269" t="n">
        <v>2.7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48930-2024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45594</v>
      </c>
      <c r="E270" s="1" t="n">
        <v>46311</v>
      </c>
      <c r="F270" t="inlineStr">
        <is>
          <t>KRONOBERGS LÄN</t>
        </is>
      </c>
      <c r="G270" t="inlineStr">
        <is>
          <t>LJUNGBY</t>
        </is>
      </c>
      <c r="I270" t="n">
        <v>0.3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25391-2023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45089</v>
      </c>
      <c r="E271" s="1" t="n">
        <v>46311</v>
      </c>
      <c r="F271" t="inlineStr">
        <is>
          <t>KRONOBERGS LÄN</t>
        </is>
      </c>
      <c r="G271" t="inlineStr">
        <is>
          <t>LJUNGBY</t>
        </is>
      </c>
      <c r="I271" t="n">
        <v>2.4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25039-2023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45085</v>
      </c>
      <c r="E272" s="1" t="n">
        <v>46311</v>
      </c>
      <c r="F272" t="inlineStr">
        <is>
          <t>KRONOBERGS LÄN</t>
        </is>
      </c>
      <c r="G272" t="inlineStr">
        <is>
          <t>LJUNGBY</t>
        </is>
      </c>
      <c r="I272" t="n">
        <v>0.6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21176-2024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45440</v>
      </c>
      <c r="E273" s="1" t="n">
        <v>46311</v>
      </c>
      <c r="F273" t="inlineStr">
        <is>
          <t>KRONOBERGS LÄN</t>
        </is>
      </c>
      <c r="G273" t="inlineStr">
        <is>
          <t>LJUNGBY</t>
        </is>
      </c>
      <c r="I273" t="n">
        <v>2.7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10441-2024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45366</v>
      </c>
      <c r="E274" s="1" t="n">
        <v>46311</v>
      </c>
      <c r="F274" t="inlineStr">
        <is>
          <t>KRONOBERGS LÄN</t>
        </is>
      </c>
      <c r="G274" t="inlineStr">
        <is>
          <t>LJUNGBY</t>
        </is>
      </c>
      <c r="I274" t="n">
        <v>5.6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29356-2025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45824</v>
      </c>
      <c r="E275" s="1" t="n">
        <v>46311</v>
      </c>
      <c r="F275" t="inlineStr">
        <is>
          <t>KRONOBERGS LÄN</t>
        </is>
      </c>
      <c r="G275" t="inlineStr">
        <is>
          <t>LJUNGBY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21421-2024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45441</v>
      </c>
      <c r="E276" s="1" t="n">
        <v>46311</v>
      </c>
      <c r="F276" t="inlineStr">
        <is>
          <t>KRONOBERGS LÄN</t>
        </is>
      </c>
      <c r="G276" t="inlineStr">
        <is>
          <t>LJUNGBY</t>
        </is>
      </c>
      <c r="I276" t="n">
        <v>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38638-2024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45546</v>
      </c>
      <c r="E277" s="1" t="n">
        <v>46311</v>
      </c>
      <c r="F277" t="inlineStr">
        <is>
          <t>KRONOBERGS LÄN</t>
        </is>
      </c>
      <c r="G277" t="inlineStr">
        <is>
          <t>LJUNGBY</t>
        </is>
      </c>
      <c r="H277" t="inlineStr">
        <is>
          <t>Sveaskog</t>
        </is>
      </c>
      <c r="I277" t="n">
        <v>4.7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38639-2024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45546</v>
      </c>
      <c r="E278" s="1" t="n">
        <v>46311</v>
      </c>
      <c r="F278" t="inlineStr">
        <is>
          <t>KRONOBERGS LÄN</t>
        </is>
      </c>
      <c r="G278" t="inlineStr">
        <is>
          <t>LJUNGBY</t>
        </is>
      </c>
      <c r="H278" t="inlineStr">
        <is>
          <t>Sveaskog</t>
        </is>
      </c>
      <c r="I278" t="n">
        <v>0.9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7269-2025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45702</v>
      </c>
      <c r="E279" s="1" t="n">
        <v>46311</v>
      </c>
      <c r="F279" t="inlineStr">
        <is>
          <t>KRONOBERGS LÄN</t>
        </is>
      </c>
      <c r="G279" t="inlineStr">
        <is>
          <t>LJUNGBY</t>
        </is>
      </c>
      <c r="I279" t="n">
        <v>0.4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18933-2025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45764</v>
      </c>
      <c r="E280" s="1" t="n">
        <v>46311</v>
      </c>
      <c r="F280" t="inlineStr">
        <is>
          <t>KRONOBERGS LÄN</t>
        </is>
      </c>
      <c r="G280" t="inlineStr">
        <is>
          <t>LJUNGBY</t>
        </is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29915-2025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45826</v>
      </c>
      <c r="E281" s="1" t="n">
        <v>46311</v>
      </c>
      <c r="F281" t="inlineStr">
        <is>
          <t>KRONOBERGS LÄN</t>
        </is>
      </c>
      <c r="G281" t="inlineStr">
        <is>
          <t>LJUNGBY</t>
        </is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226-2023</t>
        </is>
      </c>
      <c r="B282" t="inlineStr">
        <is>
          <t>avverkningsanmälan</t>
        </is>
      </c>
      <c r="C282" t="inlineStr">
        <is>
          <t>Avverkning för annat ändamål</t>
        </is>
      </c>
      <c r="D282" s="1" t="n">
        <v>44928</v>
      </c>
      <c r="E282" s="1" t="n">
        <v>46311</v>
      </c>
      <c r="F282" t="inlineStr">
        <is>
          <t>KRONOBERGS LÄN</t>
        </is>
      </c>
      <c r="G282" t="inlineStr">
        <is>
          <t>LJUNGBY</t>
        </is>
      </c>
      <c r="I282" t="n">
        <v>3.4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32046-2024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45510</v>
      </c>
      <c r="E283" s="1" t="n">
        <v>46311</v>
      </c>
      <c r="F283" t="inlineStr">
        <is>
          <t>KRONOBERGS LÄN</t>
        </is>
      </c>
      <c r="G283" t="inlineStr">
        <is>
          <t>LJUNGBY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29785-2025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45825</v>
      </c>
      <c r="E284" s="1" t="n">
        <v>46311</v>
      </c>
      <c r="F284" t="inlineStr">
        <is>
          <t>KRONOBERGS LÄN</t>
        </is>
      </c>
      <c r="G284" t="inlineStr">
        <is>
          <t>LJUNGBY</t>
        </is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57336-2024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45629</v>
      </c>
      <c r="E285" s="1" t="n">
        <v>46311</v>
      </c>
      <c r="F285" t="inlineStr">
        <is>
          <t>KRONOBERGS LÄN</t>
        </is>
      </c>
      <c r="G285" t="inlineStr">
        <is>
          <t>LJUNGBY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23857-2025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45793</v>
      </c>
      <c r="E286" s="1" t="n">
        <v>46311</v>
      </c>
      <c r="F286" t="inlineStr">
        <is>
          <t>KRONOBERGS LÄN</t>
        </is>
      </c>
      <c r="G286" t="inlineStr">
        <is>
          <t>LJUNGBY</t>
        </is>
      </c>
      <c r="I286" t="n">
        <v>1.8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47232-2023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45202</v>
      </c>
      <c r="E287" s="1" t="n">
        <v>46311</v>
      </c>
      <c r="F287" t="inlineStr">
        <is>
          <t>KRONOBERGS LÄN</t>
        </is>
      </c>
      <c r="G287" t="inlineStr">
        <is>
          <t>LJUNGBY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37721-2022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44810</v>
      </c>
      <c r="E288" s="1" t="n">
        <v>46311</v>
      </c>
      <c r="F288" t="inlineStr">
        <is>
          <t>KRONOBERGS LÄN</t>
        </is>
      </c>
      <c r="G288" t="inlineStr">
        <is>
          <t>LJUNGBY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62361-2022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44923</v>
      </c>
      <c r="E289" s="1" t="n">
        <v>46311</v>
      </c>
      <c r="F289" t="inlineStr">
        <is>
          <t>KRONOBERGS LÄN</t>
        </is>
      </c>
      <c r="G289" t="inlineStr">
        <is>
          <t>LJUNGBY</t>
        </is>
      </c>
      <c r="I289" t="n">
        <v>0.9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30549-2025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45831</v>
      </c>
      <c r="E290" s="1" t="n">
        <v>46311</v>
      </c>
      <c r="F290" t="inlineStr">
        <is>
          <t>KRONOBERGS LÄN</t>
        </is>
      </c>
      <c r="G290" t="inlineStr">
        <is>
          <t>LJUNGBY</t>
        </is>
      </c>
      <c r="I290" t="n">
        <v>2.9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801-2024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45300</v>
      </c>
      <c r="E291" s="1" t="n">
        <v>46311</v>
      </c>
      <c r="F291" t="inlineStr">
        <is>
          <t>KRONOBERGS LÄN</t>
        </is>
      </c>
      <c r="G291" t="inlineStr">
        <is>
          <t>LJUNGBY</t>
        </is>
      </c>
      <c r="I291" t="n">
        <v>1.1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37701-2022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44810</v>
      </c>
      <c r="E292" s="1" t="n">
        <v>46311</v>
      </c>
      <c r="F292" t="inlineStr">
        <is>
          <t>KRONOBERGS LÄN</t>
        </is>
      </c>
      <c r="G292" t="inlineStr">
        <is>
          <t>LJUNGBY</t>
        </is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30857-2025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45831</v>
      </c>
      <c r="E293" s="1" t="n">
        <v>46311</v>
      </c>
      <c r="F293" t="inlineStr">
        <is>
          <t>KRONOBERGS LÄN</t>
        </is>
      </c>
      <c r="G293" t="inlineStr">
        <is>
          <t>LJUNGBY</t>
        </is>
      </c>
      <c r="I293" t="n">
        <v>2.3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30538-2025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45831</v>
      </c>
      <c r="E294" s="1" t="n">
        <v>46311</v>
      </c>
      <c r="F294" t="inlineStr">
        <is>
          <t>KRONOBERGS LÄN</t>
        </is>
      </c>
      <c r="G294" t="inlineStr">
        <is>
          <t>LJUNGBY</t>
        </is>
      </c>
      <c r="I294" t="n">
        <v>0.7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30523-2025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45831</v>
      </c>
      <c r="E295" s="1" t="n">
        <v>46311</v>
      </c>
      <c r="F295" t="inlineStr">
        <is>
          <t>KRONOBERGS LÄN</t>
        </is>
      </c>
      <c r="G295" t="inlineStr">
        <is>
          <t>LJUNGBY</t>
        </is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30521-2025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45831</v>
      </c>
      <c r="E296" s="1" t="n">
        <v>46311</v>
      </c>
      <c r="F296" t="inlineStr">
        <is>
          <t>KRONOBERGS LÄN</t>
        </is>
      </c>
      <c r="G296" t="inlineStr">
        <is>
          <t>LJUNGBY</t>
        </is>
      </c>
      <c r="I296" t="n">
        <v>1.5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45857-2022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44846</v>
      </c>
      <c r="E297" s="1" t="n">
        <v>46311</v>
      </c>
      <c r="F297" t="inlineStr">
        <is>
          <t>KRONOBERGS LÄN</t>
        </is>
      </c>
      <c r="G297" t="inlineStr">
        <is>
          <t>LJUNGBY</t>
        </is>
      </c>
      <c r="I297" t="n">
        <v>7.4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57310-2022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44896</v>
      </c>
      <c r="E298" s="1" t="n">
        <v>46311</v>
      </c>
      <c r="F298" t="inlineStr">
        <is>
          <t>KRONOBERGS LÄN</t>
        </is>
      </c>
      <c r="G298" t="inlineStr">
        <is>
          <t>LJUNGBY</t>
        </is>
      </c>
      <c r="I298" t="n">
        <v>0.7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30529-2025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45831</v>
      </c>
      <c r="E299" s="1" t="n">
        <v>46311</v>
      </c>
      <c r="F299" t="inlineStr">
        <is>
          <t>KRONOBERGS LÄN</t>
        </is>
      </c>
      <c r="G299" t="inlineStr">
        <is>
          <t>LJUNGBY</t>
        </is>
      </c>
      <c r="I299" t="n">
        <v>0.6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55752-2023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45239</v>
      </c>
      <c r="E300" s="1" t="n">
        <v>46311</v>
      </c>
      <c r="F300" t="inlineStr">
        <is>
          <t>KRONOBERGS LÄN</t>
        </is>
      </c>
      <c r="G300" t="inlineStr">
        <is>
          <t>LJUNGBY</t>
        </is>
      </c>
      <c r="I300" t="n">
        <v>2.6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11686-2024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45373</v>
      </c>
      <c r="E301" s="1" t="n">
        <v>46311</v>
      </c>
      <c r="F301" t="inlineStr">
        <is>
          <t>KRONOBERGS LÄN</t>
        </is>
      </c>
      <c r="G301" t="inlineStr">
        <is>
          <t>LJUNGBY</t>
        </is>
      </c>
      <c r="I301" t="n">
        <v>2.2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31602-2025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45833</v>
      </c>
      <c r="E302" s="1" t="n">
        <v>46311</v>
      </c>
      <c r="F302" t="inlineStr">
        <is>
          <t>KRONOBERGS LÄN</t>
        </is>
      </c>
      <c r="G302" t="inlineStr">
        <is>
          <t>LJUNGBY</t>
        </is>
      </c>
      <c r="I302" t="n">
        <v>1.5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57133-2022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44895</v>
      </c>
      <c r="E303" s="1" t="n">
        <v>46311</v>
      </c>
      <c r="F303" t="inlineStr">
        <is>
          <t>KRONOBERGS LÄN</t>
        </is>
      </c>
      <c r="G303" t="inlineStr">
        <is>
          <t>LJUNGBY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57144-2022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44895</v>
      </c>
      <c r="E304" s="1" t="n">
        <v>46311</v>
      </c>
      <c r="F304" t="inlineStr">
        <is>
          <t>KRONOBERGS LÄN</t>
        </is>
      </c>
      <c r="G304" t="inlineStr">
        <is>
          <t>LJUNGBY</t>
        </is>
      </c>
      <c r="I304" t="n">
        <v>4.4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57157-2022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44895</v>
      </c>
      <c r="E305" s="1" t="n">
        <v>46311</v>
      </c>
      <c r="F305" t="inlineStr">
        <is>
          <t>KRONOBERGS LÄN</t>
        </is>
      </c>
      <c r="G305" t="inlineStr">
        <is>
          <t>LJUNGBY</t>
        </is>
      </c>
      <c r="I305" t="n">
        <v>2.2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32014-2025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45835</v>
      </c>
      <c r="E306" s="1" t="n">
        <v>46311</v>
      </c>
      <c r="F306" t="inlineStr">
        <is>
          <t>KRONOBERGS LÄN</t>
        </is>
      </c>
      <c r="G306" t="inlineStr">
        <is>
          <t>LJUNGBY</t>
        </is>
      </c>
      <c r="I306" t="n">
        <v>2.8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47427-2023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45197</v>
      </c>
      <c r="E307" s="1" t="n">
        <v>46311</v>
      </c>
      <c r="F307" t="inlineStr">
        <is>
          <t>KRONOBERGS LÄN</t>
        </is>
      </c>
      <c r="G307" t="inlineStr">
        <is>
          <t>LJUNGBY</t>
        </is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9531-2025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45715</v>
      </c>
      <c r="E308" s="1" t="n">
        <v>46311</v>
      </c>
      <c r="F308" t="inlineStr">
        <is>
          <t>KRONOBERGS LÄN</t>
        </is>
      </c>
      <c r="G308" t="inlineStr">
        <is>
          <t>LJUNGBY</t>
        </is>
      </c>
      <c r="I308" t="n">
        <v>1.1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33114-2023</t>
        </is>
      </c>
      <c r="B309" t="inlineStr">
        <is>
          <t>avverkningsanmälan</t>
        </is>
      </c>
      <c r="C309" t="inlineStr">
        <is>
          <t>Avverkning för annat ändamål</t>
        </is>
      </c>
      <c r="D309" s="1" t="n">
        <v>45126</v>
      </c>
      <c r="E309" s="1" t="n">
        <v>46311</v>
      </c>
      <c r="F309" t="inlineStr">
        <is>
          <t>KRONOBERGS LÄN</t>
        </is>
      </c>
      <c r="G309" t="inlineStr">
        <is>
          <t>LJUNGBY</t>
        </is>
      </c>
      <c r="I309" t="n">
        <v>0.8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32121-2023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45119</v>
      </c>
      <c r="E310" s="1" t="n">
        <v>46311</v>
      </c>
      <c r="F310" t="inlineStr">
        <is>
          <t>KRONOBERGS LÄN</t>
        </is>
      </c>
      <c r="G310" t="inlineStr">
        <is>
          <t>LJUNGBY</t>
        </is>
      </c>
      <c r="I310" t="n">
        <v>0.6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3081-2023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44946</v>
      </c>
      <c r="E311" s="1" t="n">
        <v>46311</v>
      </c>
      <c r="F311" t="inlineStr">
        <is>
          <t>KRONOBERGS LÄN</t>
        </is>
      </c>
      <c r="G311" t="inlineStr">
        <is>
          <t>LJUNGBY</t>
        </is>
      </c>
      <c r="I311" t="n">
        <v>0.9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32390-2025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45837</v>
      </c>
      <c r="E312" s="1" t="n">
        <v>46311</v>
      </c>
      <c r="F312" t="inlineStr">
        <is>
          <t>KRONOBERGS LÄN</t>
        </is>
      </c>
      <c r="G312" t="inlineStr">
        <is>
          <t>LJUNGBY</t>
        </is>
      </c>
      <c r="I312" t="n">
        <v>0.6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32011-2025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45835</v>
      </c>
      <c r="E313" s="1" t="n">
        <v>46311</v>
      </c>
      <c r="F313" t="inlineStr">
        <is>
          <t>KRONOBERGS LÄN</t>
        </is>
      </c>
      <c r="G313" t="inlineStr">
        <is>
          <t>LJUNGBY</t>
        </is>
      </c>
      <c r="I313" t="n">
        <v>1.9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33152-2025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45840</v>
      </c>
      <c r="E314" s="1" t="n">
        <v>46311</v>
      </c>
      <c r="F314" t="inlineStr">
        <is>
          <t>KRONOBERGS LÄN</t>
        </is>
      </c>
      <c r="G314" t="inlineStr">
        <is>
          <t>LJUNGBY</t>
        </is>
      </c>
      <c r="I314" t="n">
        <v>0.8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28124-2023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45099</v>
      </c>
      <c r="E315" s="1" t="n">
        <v>46311</v>
      </c>
      <c r="F315" t="inlineStr">
        <is>
          <t>KRONOBERGS LÄN</t>
        </is>
      </c>
      <c r="G315" t="inlineStr">
        <is>
          <t>LJUNGBY</t>
        </is>
      </c>
      <c r="I315" t="n">
        <v>0.6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33151-2025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45840</v>
      </c>
      <c r="E316" s="1" t="n">
        <v>46311</v>
      </c>
      <c r="F316" t="inlineStr">
        <is>
          <t>KRONOBERGS LÄN</t>
        </is>
      </c>
      <c r="G316" t="inlineStr">
        <is>
          <t>LJUNGBY</t>
        </is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24884-2024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45461</v>
      </c>
      <c r="E317" s="1" t="n">
        <v>46311</v>
      </c>
      <c r="F317" t="inlineStr">
        <is>
          <t>KRONOBERGS LÄN</t>
        </is>
      </c>
      <c r="G317" t="inlineStr">
        <is>
          <t>LJUNGBY</t>
        </is>
      </c>
      <c r="I317" t="n">
        <v>0.4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26623-2023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45092</v>
      </c>
      <c r="E318" s="1" t="n">
        <v>46311</v>
      </c>
      <c r="F318" t="inlineStr">
        <is>
          <t>KRONOBERGS LÄN</t>
        </is>
      </c>
      <c r="G318" t="inlineStr">
        <is>
          <t>LJUNGBY</t>
        </is>
      </c>
      <c r="I318" t="n">
        <v>0.4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3271-2024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45317</v>
      </c>
      <c r="E319" s="1" t="n">
        <v>46311</v>
      </c>
      <c r="F319" t="inlineStr">
        <is>
          <t>KRONOBERGS LÄN</t>
        </is>
      </c>
      <c r="G319" t="inlineStr">
        <is>
          <t>LJUNGBY</t>
        </is>
      </c>
      <c r="I319" t="n">
        <v>1.5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33811-2025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45842</v>
      </c>
      <c r="E320" s="1" t="n">
        <v>46311</v>
      </c>
      <c r="F320" t="inlineStr">
        <is>
          <t>KRONOBERGS LÄN</t>
        </is>
      </c>
      <c r="G320" t="inlineStr">
        <is>
          <t>LJUNGBY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28677-2023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45103</v>
      </c>
      <c r="E321" s="1" t="n">
        <v>46311</v>
      </c>
      <c r="F321" t="inlineStr">
        <is>
          <t>KRONOBERGS LÄN</t>
        </is>
      </c>
      <c r="G321" t="inlineStr">
        <is>
          <t>LJUNGBY</t>
        </is>
      </c>
      <c r="I321" t="n">
        <v>0.4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30778-2023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45112</v>
      </c>
      <c r="E322" s="1" t="n">
        <v>46311</v>
      </c>
      <c r="F322" t="inlineStr">
        <is>
          <t>KRONOBERGS LÄN</t>
        </is>
      </c>
      <c r="G322" t="inlineStr">
        <is>
          <t>LJUNGBY</t>
        </is>
      </c>
      <c r="I322" t="n">
        <v>1.2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49228-2024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45595</v>
      </c>
      <c r="E323" s="1" t="n">
        <v>46311</v>
      </c>
      <c r="F323" t="inlineStr">
        <is>
          <t>KRONOBERGS LÄN</t>
        </is>
      </c>
      <c r="G323" t="inlineStr">
        <is>
          <t>LJUNGBY</t>
        </is>
      </c>
      <c r="I323" t="n">
        <v>2.6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1846-2024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45307</v>
      </c>
      <c r="E324" s="1" t="n">
        <v>46311</v>
      </c>
      <c r="F324" t="inlineStr">
        <is>
          <t>KRONOBERGS LÄN</t>
        </is>
      </c>
      <c r="G324" t="inlineStr">
        <is>
          <t>LJUNGBY</t>
        </is>
      </c>
      <c r="I324" t="n">
        <v>0.7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40511-2022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44823</v>
      </c>
      <c r="E325" s="1" t="n">
        <v>46311</v>
      </c>
      <c r="F325" t="inlineStr">
        <is>
          <t>KRONOBERGS LÄN</t>
        </is>
      </c>
      <c r="G325" t="inlineStr">
        <is>
          <t>LJUNGBY</t>
        </is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20365-2025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45775</v>
      </c>
      <c r="E326" s="1" t="n">
        <v>46311</v>
      </c>
      <c r="F326" t="inlineStr">
        <is>
          <t>KRONOBERGS LÄN</t>
        </is>
      </c>
      <c r="G326" t="inlineStr">
        <is>
          <t>LJUNGBY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4017-2024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45323</v>
      </c>
      <c r="E327" s="1" t="n">
        <v>46311</v>
      </c>
      <c r="F327" t="inlineStr">
        <is>
          <t>KRONOBERGS LÄN</t>
        </is>
      </c>
      <c r="G327" t="inlineStr">
        <is>
          <t>LJUNGBY</t>
        </is>
      </c>
      <c r="H327" t="inlineStr">
        <is>
          <t>Kommuner</t>
        </is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15838-2025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45748</v>
      </c>
      <c r="E328" s="1" t="n">
        <v>46311</v>
      </c>
      <c r="F328" t="inlineStr">
        <is>
          <t>KRONOBERGS LÄN</t>
        </is>
      </c>
      <c r="G328" t="inlineStr">
        <is>
          <t>LJUNGBY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15979-2025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45749</v>
      </c>
      <c r="E329" s="1" t="n">
        <v>46311</v>
      </c>
      <c r="F329" t="inlineStr">
        <is>
          <t>KRONOBERGS LÄN</t>
        </is>
      </c>
      <c r="G329" t="inlineStr">
        <is>
          <t>LJUNGBY</t>
        </is>
      </c>
      <c r="I329" t="n">
        <v>1.6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38999-2025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45888</v>
      </c>
      <c r="E330" s="1" t="n">
        <v>46311</v>
      </c>
      <c r="F330" t="inlineStr">
        <is>
          <t>KRONOBERGS LÄN</t>
        </is>
      </c>
      <c r="G330" t="inlineStr">
        <is>
          <t>LJUNGBY</t>
        </is>
      </c>
      <c r="I330" t="n">
        <v>1.3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21758-2023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45065</v>
      </c>
      <c r="E331" s="1" t="n">
        <v>46311</v>
      </c>
      <c r="F331" t="inlineStr">
        <is>
          <t>KRONOBERGS LÄN</t>
        </is>
      </c>
      <c r="G331" t="inlineStr">
        <is>
          <t>LJUNGBY</t>
        </is>
      </c>
      <c r="I331" t="n">
        <v>2.8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11071-2025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45723</v>
      </c>
      <c r="E332" s="1" t="n">
        <v>46311</v>
      </c>
      <c r="F332" t="inlineStr">
        <is>
          <t>KRONOBERGS LÄN</t>
        </is>
      </c>
      <c r="G332" t="inlineStr">
        <is>
          <t>LJUNGBY</t>
        </is>
      </c>
      <c r="I332" t="n">
        <v>1.9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32072-2023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45119</v>
      </c>
      <c r="E333" s="1" t="n">
        <v>46311</v>
      </c>
      <c r="F333" t="inlineStr">
        <is>
          <t>KRONOBERGS LÄN</t>
        </is>
      </c>
      <c r="G333" t="inlineStr">
        <is>
          <t>LJUNGBY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34738-2025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45848</v>
      </c>
      <c r="E334" s="1" t="n">
        <v>46311</v>
      </c>
      <c r="F334" t="inlineStr">
        <is>
          <t>KRONOBERGS LÄN</t>
        </is>
      </c>
      <c r="G334" t="inlineStr">
        <is>
          <t>LJUNGBY</t>
        </is>
      </c>
      <c r="I334" t="n">
        <v>4.7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34742-2025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45848</v>
      </c>
      <c r="E335" s="1" t="n">
        <v>46311</v>
      </c>
      <c r="F335" t="inlineStr">
        <is>
          <t>KRONOBERGS LÄN</t>
        </is>
      </c>
      <c r="G335" t="inlineStr">
        <is>
          <t>LJUNGBY</t>
        </is>
      </c>
      <c r="I335" t="n">
        <v>1.7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8134-2023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44974</v>
      </c>
      <c r="E336" s="1" t="n">
        <v>46311</v>
      </c>
      <c r="F336" t="inlineStr">
        <is>
          <t>KRONOBERGS LÄN</t>
        </is>
      </c>
      <c r="G336" t="inlineStr">
        <is>
          <t>LJUNGBY</t>
        </is>
      </c>
      <c r="I336" t="n">
        <v>1.1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62504-2022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44924</v>
      </c>
      <c r="E337" s="1" t="n">
        <v>46311</v>
      </c>
      <c r="F337" t="inlineStr">
        <is>
          <t>KRONOBERGS LÄN</t>
        </is>
      </c>
      <c r="G337" t="inlineStr">
        <is>
          <t>LJUNGBY</t>
        </is>
      </c>
      <c r="I337" t="n">
        <v>1.9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12499-2025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45730</v>
      </c>
      <c r="E338" s="1" t="n">
        <v>46311</v>
      </c>
      <c r="F338" t="inlineStr">
        <is>
          <t>KRONOBERGS LÄN</t>
        </is>
      </c>
      <c r="G338" t="inlineStr">
        <is>
          <t>LJUNGBY</t>
        </is>
      </c>
      <c r="I338" t="n">
        <v>1.2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26979-2025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45811</v>
      </c>
      <c r="E339" s="1" t="n">
        <v>46311</v>
      </c>
      <c r="F339" t="inlineStr">
        <is>
          <t>KRONOBERGS LÄN</t>
        </is>
      </c>
      <c r="G339" t="inlineStr">
        <is>
          <t>LJUNGBY</t>
        </is>
      </c>
      <c r="I339" t="n">
        <v>2.6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17909-2025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45758</v>
      </c>
      <c r="E340" s="1" t="n">
        <v>46311</v>
      </c>
      <c r="F340" t="inlineStr">
        <is>
          <t>KRONOBERGS LÄN</t>
        </is>
      </c>
      <c r="G340" t="inlineStr">
        <is>
          <t>LJUNGBY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27626-2023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45097</v>
      </c>
      <c r="E341" s="1" t="n">
        <v>46311</v>
      </c>
      <c r="F341" t="inlineStr">
        <is>
          <t>KRONOBERGS LÄN</t>
        </is>
      </c>
      <c r="G341" t="inlineStr">
        <is>
          <t>LJUNGBY</t>
        </is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35038-2025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45852</v>
      </c>
      <c r="E342" s="1" t="n">
        <v>46311</v>
      </c>
      <c r="F342" t="inlineStr">
        <is>
          <t>KRONOBERGS LÄN</t>
        </is>
      </c>
      <c r="G342" t="inlineStr">
        <is>
          <t>LJUNGBY</t>
        </is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9526-2025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45715</v>
      </c>
      <c r="E343" s="1" t="n">
        <v>46311</v>
      </c>
      <c r="F343" t="inlineStr">
        <is>
          <t>KRONOBERGS LÄN</t>
        </is>
      </c>
      <c r="G343" t="inlineStr">
        <is>
          <t>LJUNGBY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39133-2025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45888</v>
      </c>
      <c r="E344" s="1" t="n">
        <v>46311</v>
      </c>
      <c r="F344" t="inlineStr">
        <is>
          <t>KRONOBERGS LÄN</t>
        </is>
      </c>
      <c r="G344" t="inlineStr">
        <is>
          <t>LJUNGBY</t>
        </is>
      </c>
      <c r="I344" t="n">
        <v>1.5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17286-2023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45035</v>
      </c>
      <c r="E345" s="1" t="n">
        <v>46311</v>
      </c>
      <c r="F345" t="inlineStr">
        <is>
          <t>KRONOBERGS LÄN</t>
        </is>
      </c>
      <c r="G345" t="inlineStr">
        <is>
          <t>LJUNGBY</t>
        </is>
      </c>
      <c r="I345" t="n">
        <v>10.4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62994-2023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45272</v>
      </c>
      <c r="E346" s="1" t="n">
        <v>46311</v>
      </c>
      <c r="F346" t="inlineStr">
        <is>
          <t>KRONOBERGS LÄN</t>
        </is>
      </c>
      <c r="G346" t="inlineStr">
        <is>
          <t>LJUNGBY</t>
        </is>
      </c>
      <c r="I346" t="n">
        <v>1.4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64003-2023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45278</v>
      </c>
      <c r="E347" s="1" t="n">
        <v>46311</v>
      </c>
      <c r="F347" t="inlineStr">
        <is>
          <t>KRONOBERGS LÄN</t>
        </is>
      </c>
      <c r="G347" t="inlineStr">
        <is>
          <t>LJUNGBY</t>
        </is>
      </c>
      <c r="H347" t="inlineStr">
        <is>
          <t>Kyrkan</t>
        </is>
      </c>
      <c r="I347" t="n">
        <v>4.7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61592-2023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45265</v>
      </c>
      <c r="E348" s="1" t="n">
        <v>46311</v>
      </c>
      <c r="F348" t="inlineStr">
        <is>
          <t>KRONOBERGS LÄN</t>
        </is>
      </c>
      <c r="G348" t="inlineStr">
        <is>
          <t>LJUNGBY</t>
        </is>
      </c>
      <c r="I348" t="n">
        <v>0.5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20502-2025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45775</v>
      </c>
      <c r="E349" s="1" t="n">
        <v>46311</v>
      </c>
      <c r="F349" t="inlineStr">
        <is>
          <t>KRONOBERGS LÄN</t>
        </is>
      </c>
      <c r="G349" t="inlineStr">
        <is>
          <t>LJUNGBY</t>
        </is>
      </c>
      <c r="I349" t="n">
        <v>1.5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1265-2025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45667</v>
      </c>
      <c r="E350" s="1" t="n">
        <v>46311</v>
      </c>
      <c r="F350" t="inlineStr">
        <is>
          <t>KRONOBERGS LÄN</t>
        </is>
      </c>
      <c r="G350" t="inlineStr">
        <is>
          <t>LJUNGBY</t>
        </is>
      </c>
      <c r="I350" t="n">
        <v>2.2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27019-2025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45811</v>
      </c>
      <c r="E351" s="1" t="n">
        <v>46311</v>
      </c>
      <c r="F351" t="inlineStr">
        <is>
          <t>KRONOBERGS LÄN</t>
        </is>
      </c>
      <c r="G351" t="inlineStr">
        <is>
          <t>LJUNGBY</t>
        </is>
      </c>
      <c r="I351" t="n">
        <v>5.4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33075-2023</t>
        </is>
      </c>
      <c r="B352" t="inlineStr">
        <is>
          <t>avverkningsanmälan</t>
        </is>
      </c>
      <c r="C352" t="inlineStr">
        <is>
          <t>Avverkning för annat ändamål</t>
        </is>
      </c>
      <c r="D352" s="1" t="n">
        <v>45126</v>
      </c>
      <c r="E352" s="1" t="n">
        <v>46311</v>
      </c>
      <c r="F352" t="inlineStr">
        <is>
          <t>KRONOBERGS LÄN</t>
        </is>
      </c>
      <c r="G352" t="inlineStr">
        <is>
          <t>LJUNGBY</t>
        </is>
      </c>
      <c r="I352" t="n">
        <v>2.9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56936-2022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44894</v>
      </c>
      <c r="E353" s="1" t="n">
        <v>46311</v>
      </c>
      <c r="F353" t="inlineStr">
        <is>
          <t>KRONOBERGS LÄN</t>
        </is>
      </c>
      <c r="G353" t="inlineStr">
        <is>
          <t>LJUNGBY</t>
        </is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30018-2023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45109</v>
      </c>
      <c r="E354" s="1" t="n">
        <v>46311</v>
      </c>
      <c r="F354" t="inlineStr">
        <is>
          <t>KRONOBERGS LÄN</t>
        </is>
      </c>
      <c r="G354" t="inlineStr">
        <is>
          <t>LJUNGBY</t>
        </is>
      </c>
      <c r="I354" t="n">
        <v>13.6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35317-2024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45530</v>
      </c>
      <c r="E355" s="1" t="n">
        <v>46311</v>
      </c>
      <c r="F355" t="inlineStr">
        <is>
          <t>KRONOBERGS LÄN</t>
        </is>
      </c>
      <c r="G355" t="inlineStr">
        <is>
          <t>LJUNGBY</t>
        </is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43347-2023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45183</v>
      </c>
      <c r="E356" s="1" t="n">
        <v>46311</v>
      </c>
      <c r="F356" t="inlineStr">
        <is>
          <t>KRONOBERGS LÄN</t>
        </is>
      </c>
      <c r="G356" t="inlineStr">
        <is>
          <t>LJUNGBY</t>
        </is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35790-2025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45860</v>
      </c>
      <c r="E357" s="1" t="n">
        <v>46311</v>
      </c>
      <c r="F357" t="inlineStr">
        <is>
          <t>KRONOBERGS LÄN</t>
        </is>
      </c>
      <c r="G357" t="inlineStr">
        <is>
          <t>LJUNGBY</t>
        </is>
      </c>
      <c r="I357" t="n">
        <v>3.6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51852-2023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45223</v>
      </c>
      <c r="E358" s="1" t="n">
        <v>46311</v>
      </c>
      <c r="F358" t="inlineStr">
        <is>
          <t>KRONOBERGS LÄN</t>
        </is>
      </c>
      <c r="G358" t="inlineStr">
        <is>
          <t>LJUNGBY</t>
        </is>
      </c>
      <c r="I358" t="n">
        <v>2.8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51856-2023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45223</v>
      </c>
      <c r="E359" s="1" t="n">
        <v>46311</v>
      </c>
      <c r="F359" t="inlineStr">
        <is>
          <t>KRONOBERGS LÄN</t>
        </is>
      </c>
      <c r="G359" t="inlineStr">
        <is>
          <t>LJUNGBY</t>
        </is>
      </c>
      <c r="I359" t="n">
        <v>0.8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53412-2024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45614</v>
      </c>
      <c r="E360" s="1" t="n">
        <v>46311</v>
      </c>
      <c r="F360" t="inlineStr">
        <is>
          <t>KRONOBERGS LÄN</t>
        </is>
      </c>
      <c r="G360" t="inlineStr">
        <is>
          <t>LJUNGBY</t>
        </is>
      </c>
      <c r="H360" t="inlineStr">
        <is>
          <t>Sveaskog</t>
        </is>
      </c>
      <c r="I360" t="n">
        <v>1.6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55004-2022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44886</v>
      </c>
      <c r="E361" s="1" t="n">
        <v>46311</v>
      </c>
      <c r="F361" t="inlineStr">
        <is>
          <t>KRONOBERGS LÄN</t>
        </is>
      </c>
      <c r="G361" t="inlineStr">
        <is>
          <t>LJUNGBY</t>
        </is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46662-2022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44850</v>
      </c>
      <c r="E362" s="1" t="n">
        <v>46311</v>
      </c>
      <c r="F362" t="inlineStr">
        <is>
          <t>KRONOBERGS LÄN</t>
        </is>
      </c>
      <c r="G362" t="inlineStr">
        <is>
          <t>LJUNGBY</t>
        </is>
      </c>
      <c r="I362" t="n">
        <v>4.1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6495-2024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45339</v>
      </c>
      <c r="E363" s="1" t="n">
        <v>46311</v>
      </c>
      <c r="F363" t="inlineStr">
        <is>
          <t>KRONOBERGS LÄN</t>
        </is>
      </c>
      <c r="G363" t="inlineStr">
        <is>
          <t>LJUNGBY</t>
        </is>
      </c>
      <c r="I363" t="n">
        <v>0.4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29342-2024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45483</v>
      </c>
      <c r="E364" s="1" t="n">
        <v>46311</v>
      </c>
      <c r="F364" t="inlineStr">
        <is>
          <t>KRONOBERGS LÄN</t>
        </is>
      </c>
      <c r="G364" t="inlineStr">
        <is>
          <t>LJUNGBY</t>
        </is>
      </c>
      <c r="I364" t="n">
        <v>7.7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31844-2024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45509</v>
      </c>
      <c r="E365" s="1" t="n">
        <v>46311</v>
      </c>
      <c r="F365" t="inlineStr">
        <is>
          <t>KRONOBERGS LÄN</t>
        </is>
      </c>
      <c r="G365" t="inlineStr">
        <is>
          <t>LJUNGBY</t>
        </is>
      </c>
      <c r="H365" t="inlineStr">
        <is>
          <t>Sveaskog</t>
        </is>
      </c>
      <c r="I365" t="n">
        <v>1.8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62858-2023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45272</v>
      </c>
      <c r="E366" s="1" t="n">
        <v>46311</v>
      </c>
      <c r="F366" t="inlineStr">
        <is>
          <t>KRONOBERGS LÄN</t>
        </is>
      </c>
      <c r="G366" t="inlineStr">
        <is>
          <t>LJUNGBY</t>
        </is>
      </c>
      <c r="I366" t="n">
        <v>1.2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36515-2025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45869</v>
      </c>
      <c r="E367" s="1" t="n">
        <v>46311</v>
      </c>
      <c r="F367" t="inlineStr">
        <is>
          <t>KRONOBERGS LÄN</t>
        </is>
      </c>
      <c r="G367" t="inlineStr">
        <is>
          <t>LJUNGBY</t>
        </is>
      </c>
      <c r="H367" t="inlineStr">
        <is>
          <t>Kyrkan</t>
        </is>
      </c>
      <c r="I367" t="n">
        <v>4.2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36460-2025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45869</v>
      </c>
      <c r="E368" s="1" t="n">
        <v>46311</v>
      </c>
      <c r="F368" t="inlineStr">
        <is>
          <t>KRONOBERGS LÄN</t>
        </is>
      </c>
      <c r="G368" t="inlineStr">
        <is>
          <t>LJUNGBY</t>
        </is>
      </c>
      <c r="H368" t="inlineStr">
        <is>
          <t>Kyrkan</t>
        </is>
      </c>
      <c r="I368" t="n">
        <v>0.8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36513-2025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45869</v>
      </c>
      <c r="E369" s="1" t="n">
        <v>46311</v>
      </c>
      <c r="F369" t="inlineStr">
        <is>
          <t>KRONOBERGS LÄN</t>
        </is>
      </c>
      <c r="G369" t="inlineStr">
        <is>
          <t>LJUNGBY</t>
        </is>
      </c>
      <c r="H369" t="inlineStr">
        <is>
          <t>Kyrkan</t>
        </is>
      </c>
      <c r="I369" t="n">
        <v>7.2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28991-2024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45481</v>
      </c>
      <c r="E370" s="1" t="n">
        <v>46311</v>
      </c>
      <c r="F370" t="inlineStr">
        <is>
          <t>KRONOBERGS LÄN</t>
        </is>
      </c>
      <c r="G370" t="inlineStr">
        <is>
          <t>LJUNGBY</t>
        </is>
      </c>
      <c r="I370" t="n">
        <v>1.1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21788-2025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45783</v>
      </c>
      <c r="E371" s="1" t="n">
        <v>46311</v>
      </c>
      <c r="F371" t="inlineStr">
        <is>
          <t>KRONOBERGS LÄN</t>
        </is>
      </c>
      <c r="G371" t="inlineStr">
        <is>
          <t>LJUNGBY</t>
        </is>
      </c>
      <c r="I371" t="n">
        <v>1.1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16128-2023</t>
        </is>
      </c>
      <c r="B372" t="inlineStr">
        <is>
          <t>avverkningsanmälan</t>
        </is>
      </c>
      <c r="C372" t="inlineStr">
        <is>
          <t>Avverkning för annat ändamål</t>
        </is>
      </c>
      <c r="D372" s="1" t="n">
        <v>45026</v>
      </c>
      <c r="E372" s="1" t="n">
        <v>46311</v>
      </c>
      <c r="F372" t="inlineStr">
        <is>
          <t>KRONOBERGS LÄN</t>
        </is>
      </c>
      <c r="G372" t="inlineStr">
        <is>
          <t>LJUNGBY</t>
        </is>
      </c>
      <c r="I372" t="n">
        <v>1.4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46150-2022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44847</v>
      </c>
      <c r="E373" s="1" t="n">
        <v>46311</v>
      </c>
      <c r="F373" t="inlineStr">
        <is>
          <t>KRONOBERGS LÄN</t>
        </is>
      </c>
      <c r="G373" t="inlineStr">
        <is>
          <t>LJUNGBY</t>
        </is>
      </c>
      <c r="I373" t="n">
        <v>2.7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54182-2022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44881</v>
      </c>
      <c r="E374" s="1" t="n">
        <v>46311</v>
      </c>
      <c r="F374" t="inlineStr">
        <is>
          <t>KRONOBERGS LÄN</t>
        </is>
      </c>
      <c r="G374" t="inlineStr">
        <is>
          <t>LJUNGBY</t>
        </is>
      </c>
      <c r="I374" t="n">
        <v>1.5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49179-2022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44860</v>
      </c>
      <c r="E375" s="1" t="n">
        <v>46311</v>
      </c>
      <c r="F375" t="inlineStr">
        <is>
          <t>KRONOBERGS LÄN</t>
        </is>
      </c>
      <c r="G375" t="inlineStr">
        <is>
          <t>LJUNGBY</t>
        </is>
      </c>
      <c r="I375" t="n">
        <v>0.6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61893-2022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44917</v>
      </c>
      <c r="E376" s="1" t="n">
        <v>46311</v>
      </c>
      <c r="F376" t="inlineStr">
        <is>
          <t>KRONOBERGS LÄN</t>
        </is>
      </c>
      <c r="G376" t="inlineStr">
        <is>
          <t>LJUNGBY</t>
        </is>
      </c>
      <c r="I376" t="n">
        <v>0.4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28350-2023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45099</v>
      </c>
      <c r="E377" s="1" t="n">
        <v>46311</v>
      </c>
      <c r="F377" t="inlineStr">
        <is>
          <t>KRONOBERGS LÄN</t>
        </is>
      </c>
      <c r="G377" t="inlineStr">
        <is>
          <t>LJUNGBY</t>
        </is>
      </c>
      <c r="I377" t="n">
        <v>1.2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30561-2025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45831</v>
      </c>
      <c r="E378" s="1" t="n">
        <v>46311</v>
      </c>
      <c r="F378" t="inlineStr">
        <is>
          <t>KRONOBERGS LÄN</t>
        </is>
      </c>
      <c r="G378" t="inlineStr">
        <is>
          <t>LJUNGBY</t>
        </is>
      </c>
      <c r="I378" t="n">
        <v>7.1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14608-2024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45396</v>
      </c>
      <c r="E379" s="1" t="n">
        <v>46311</v>
      </c>
      <c r="F379" t="inlineStr">
        <is>
          <t>KRONOBERGS LÄN</t>
        </is>
      </c>
      <c r="G379" t="inlineStr">
        <is>
          <t>LJUNGBY</t>
        </is>
      </c>
      <c r="I379" t="n">
        <v>1.8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7004-2025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45701</v>
      </c>
      <c r="E380" s="1" t="n">
        <v>46311</v>
      </c>
      <c r="F380" t="inlineStr">
        <is>
          <t>KRONOBERGS LÄN</t>
        </is>
      </c>
      <c r="G380" t="inlineStr">
        <is>
          <t>LJUNGBY</t>
        </is>
      </c>
      <c r="I380" t="n">
        <v>2.5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18567-2024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45425</v>
      </c>
      <c r="E381" s="1" t="n">
        <v>46311</v>
      </c>
      <c r="F381" t="inlineStr">
        <is>
          <t>KRONOBERGS LÄN</t>
        </is>
      </c>
      <c r="G381" t="inlineStr">
        <is>
          <t>LJUNGBY</t>
        </is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2840-2023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44945</v>
      </c>
      <c r="E382" s="1" t="n">
        <v>46311</v>
      </c>
      <c r="F382" t="inlineStr">
        <is>
          <t>KRONOBERGS LÄN</t>
        </is>
      </c>
      <c r="G382" t="inlineStr">
        <is>
          <t>LJUNGBY</t>
        </is>
      </c>
      <c r="I382" t="n">
        <v>0.4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65062-2021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44515</v>
      </c>
      <c r="E383" s="1" t="n">
        <v>46311</v>
      </c>
      <c r="F383" t="inlineStr">
        <is>
          <t>KRONOBERGS LÄN</t>
        </is>
      </c>
      <c r="G383" t="inlineStr">
        <is>
          <t>LJUNGBY</t>
        </is>
      </c>
      <c r="I383" t="n">
        <v>0.7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65066-2021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44515</v>
      </c>
      <c r="E384" s="1" t="n">
        <v>46311</v>
      </c>
      <c r="F384" t="inlineStr">
        <is>
          <t>KRONOBERGS LÄN</t>
        </is>
      </c>
      <c r="G384" t="inlineStr">
        <is>
          <t>LJUNGBY</t>
        </is>
      </c>
      <c r="I384" t="n">
        <v>0.6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70888-2021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44538</v>
      </c>
      <c r="E385" s="1" t="n">
        <v>46311</v>
      </c>
      <c r="F385" t="inlineStr">
        <is>
          <t>KRONOBERGS LÄN</t>
        </is>
      </c>
      <c r="G385" t="inlineStr">
        <is>
          <t>LJUNGBY</t>
        </is>
      </c>
      <c r="I385" t="n">
        <v>2.7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54177-2022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44881</v>
      </c>
      <c r="E386" s="1" t="n">
        <v>46311</v>
      </c>
      <c r="F386" t="inlineStr">
        <is>
          <t>KRONOBERGS LÄN</t>
        </is>
      </c>
      <c r="G386" t="inlineStr">
        <is>
          <t>LJUNGBY</t>
        </is>
      </c>
      <c r="I386" t="n">
        <v>1.4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28038-2024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45476</v>
      </c>
      <c r="E387" s="1" t="n">
        <v>46311</v>
      </c>
      <c r="F387" t="inlineStr">
        <is>
          <t>KRONOBERGS LÄN</t>
        </is>
      </c>
      <c r="G387" t="inlineStr">
        <is>
          <t>LJUNGBY</t>
        </is>
      </c>
      <c r="I387" t="n">
        <v>1.4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29408-2025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45824</v>
      </c>
      <c r="E388" s="1" t="n">
        <v>46311</v>
      </c>
      <c r="F388" t="inlineStr">
        <is>
          <t>KRONOBERGS LÄN</t>
        </is>
      </c>
      <c r="G388" t="inlineStr">
        <is>
          <t>LJUNGBY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14402-2024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45394</v>
      </c>
      <c r="E389" s="1" t="n">
        <v>46311</v>
      </c>
      <c r="F389" t="inlineStr">
        <is>
          <t>KRONOBERGS LÄN</t>
        </is>
      </c>
      <c r="G389" t="inlineStr">
        <is>
          <t>LJUNGBY</t>
        </is>
      </c>
      <c r="I389" t="n">
        <v>3.4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7008-2025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45701</v>
      </c>
      <c r="E390" s="1" t="n">
        <v>46311</v>
      </c>
      <c r="F390" t="inlineStr">
        <is>
          <t>KRONOBERGS LÄN</t>
        </is>
      </c>
      <c r="G390" t="inlineStr">
        <is>
          <t>LJUNGBY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62717-2023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45271</v>
      </c>
      <c r="E391" s="1" t="n">
        <v>46311</v>
      </c>
      <c r="F391" t="inlineStr">
        <is>
          <t>KRONOBERGS LÄN</t>
        </is>
      </c>
      <c r="G391" t="inlineStr">
        <is>
          <t>LJUNGBY</t>
        </is>
      </c>
      <c r="I391" t="n">
        <v>3.3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1064-2024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45301</v>
      </c>
      <c r="E392" s="1" t="n">
        <v>46311</v>
      </c>
      <c r="F392" t="inlineStr">
        <is>
          <t>KRONOBERGS LÄN</t>
        </is>
      </c>
      <c r="G392" t="inlineStr">
        <is>
          <t>LJUNGBY</t>
        </is>
      </c>
      <c r="I392" t="n">
        <v>0.8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51058-2023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45211</v>
      </c>
      <c r="E393" s="1" t="n">
        <v>46311</v>
      </c>
      <c r="F393" t="inlineStr">
        <is>
          <t>KRONOBERGS LÄN</t>
        </is>
      </c>
      <c r="G393" t="inlineStr">
        <is>
          <t>LJUNGBY</t>
        </is>
      </c>
      <c r="I393" t="n">
        <v>3.5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1062-2024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45301</v>
      </c>
      <c r="E394" s="1" t="n">
        <v>46311</v>
      </c>
      <c r="F394" t="inlineStr">
        <is>
          <t>KRONOBERGS LÄN</t>
        </is>
      </c>
      <c r="G394" t="inlineStr">
        <is>
          <t>LJUNGBY</t>
        </is>
      </c>
      <c r="I394" t="n">
        <v>0.7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34475-2025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45847</v>
      </c>
      <c r="E395" s="1" t="n">
        <v>46311</v>
      </c>
      <c r="F395" t="inlineStr">
        <is>
          <t>KRONOBERGS LÄN</t>
        </is>
      </c>
      <c r="G395" t="inlineStr">
        <is>
          <t>LJUNGBY</t>
        </is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10085-2022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44621</v>
      </c>
      <c r="E396" s="1" t="n">
        <v>46311</v>
      </c>
      <c r="F396" t="inlineStr">
        <is>
          <t>KRONOBERGS LÄN</t>
        </is>
      </c>
      <c r="G396" t="inlineStr">
        <is>
          <t>LJUNGBY</t>
        </is>
      </c>
      <c r="I396" t="n">
        <v>1.6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22800-2022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44715</v>
      </c>
      <c r="E397" s="1" t="n">
        <v>46311</v>
      </c>
      <c r="F397" t="inlineStr">
        <is>
          <t>KRONOBERGS LÄN</t>
        </is>
      </c>
      <c r="G397" t="inlineStr">
        <is>
          <t>LJUNGBY</t>
        </is>
      </c>
      <c r="I397" t="n">
        <v>3.5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13998-2025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45739</v>
      </c>
      <c r="E398" s="1" t="n">
        <v>46311</v>
      </c>
      <c r="F398" t="inlineStr">
        <is>
          <t>KRONOBERGS LÄN</t>
        </is>
      </c>
      <c r="G398" t="inlineStr">
        <is>
          <t>LJUNGBY</t>
        </is>
      </c>
      <c r="I398" t="n">
        <v>2.9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14561-2024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45394</v>
      </c>
      <c r="E399" s="1" t="n">
        <v>46311</v>
      </c>
      <c r="F399" t="inlineStr">
        <is>
          <t>KRONOBERGS LÄN</t>
        </is>
      </c>
      <c r="G399" t="inlineStr">
        <is>
          <t>LJUNGBY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35170-2023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45145</v>
      </c>
      <c r="E400" s="1" t="n">
        <v>46311</v>
      </c>
      <c r="F400" t="inlineStr">
        <is>
          <t>KRONOBERGS LÄN</t>
        </is>
      </c>
      <c r="G400" t="inlineStr">
        <is>
          <t>LJUNGBY</t>
        </is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2648-2025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45676</v>
      </c>
      <c r="E401" s="1" t="n">
        <v>46311</v>
      </c>
      <c r="F401" t="inlineStr">
        <is>
          <t>KRONOBERGS LÄN</t>
        </is>
      </c>
      <c r="G401" t="inlineStr">
        <is>
          <t>LJUNGBY</t>
        </is>
      </c>
      <c r="I401" t="n">
        <v>4.2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16274-2025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45750</v>
      </c>
      <c r="E402" s="1" t="n">
        <v>46311</v>
      </c>
      <c r="F402" t="inlineStr">
        <is>
          <t>KRONOBERGS LÄN</t>
        </is>
      </c>
      <c r="G402" t="inlineStr">
        <is>
          <t>LJUNGBY</t>
        </is>
      </c>
      <c r="I402" t="n">
        <v>2.2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25152-2023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45079</v>
      </c>
      <c r="E403" s="1" t="n">
        <v>46311</v>
      </c>
      <c r="F403" t="inlineStr">
        <is>
          <t>KRONOBERGS LÄN</t>
        </is>
      </c>
      <c r="G403" t="inlineStr">
        <is>
          <t>LJUNGBY</t>
        </is>
      </c>
      <c r="I403" t="n">
        <v>5.4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13388-2023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45005</v>
      </c>
      <c r="E404" s="1" t="n">
        <v>46311</v>
      </c>
      <c r="F404" t="inlineStr">
        <is>
          <t>KRONOBERGS LÄN</t>
        </is>
      </c>
      <c r="G404" t="inlineStr">
        <is>
          <t>LJUNGBY</t>
        </is>
      </c>
      <c r="I404" t="n">
        <v>1.1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63432-2023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45274</v>
      </c>
      <c r="E405" s="1" t="n">
        <v>46311</v>
      </c>
      <c r="F405" t="inlineStr">
        <is>
          <t>KRONOBERGS LÄN</t>
        </is>
      </c>
      <c r="G405" t="inlineStr">
        <is>
          <t>LJUNGBY</t>
        </is>
      </c>
      <c r="I405" t="n">
        <v>2.1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35167-2023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45145</v>
      </c>
      <c r="E406" s="1" t="n">
        <v>46311</v>
      </c>
      <c r="F406" t="inlineStr">
        <is>
          <t>KRONOBERGS LÄN</t>
        </is>
      </c>
      <c r="G406" t="inlineStr">
        <is>
          <t>LJUNGBY</t>
        </is>
      </c>
      <c r="I406" t="n">
        <v>4.1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32393-2025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45837</v>
      </c>
      <c r="E407" s="1" t="n">
        <v>46311</v>
      </c>
      <c r="F407" t="inlineStr">
        <is>
          <t>KRONOBERGS LÄN</t>
        </is>
      </c>
      <c r="G407" t="inlineStr">
        <is>
          <t>LJUNGBY</t>
        </is>
      </c>
      <c r="I407" t="n">
        <v>2.1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57875-2023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45247</v>
      </c>
      <c r="E408" s="1" t="n">
        <v>46311</v>
      </c>
      <c r="F408" t="inlineStr">
        <is>
          <t>KRONOBERGS LÄN</t>
        </is>
      </c>
      <c r="G408" t="inlineStr">
        <is>
          <t>LJUNGBY</t>
        </is>
      </c>
      <c r="I408" t="n">
        <v>2.5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39187-2022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44817</v>
      </c>
      <c r="E409" s="1" t="n">
        <v>46311</v>
      </c>
      <c r="F409" t="inlineStr">
        <is>
          <t>KRONOBERGS LÄN</t>
        </is>
      </c>
      <c r="G409" t="inlineStr">
        <is>
          <t>LJUNGBY</t>
        </is>
      </c>
      <c r="I409" t="n">
        <v>3.5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2081-2025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45672</v>
      </c>
      <c r="E410" s="1" t="n">
        <v>46311</v>
      </c>
      <c r="F410" t="inlineStr">
        <is>
          <t>KRONOBERGS LÄN</t>
        </is>
      </c>
      <c r="G410" t="inlineStr">
        <is>
          <t>LJUNGBY</t>
        </is>
      </c>
      <c r="I410" t="n">
        <v>0.5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61666-2024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45647</v>
      </c>
      <c r="E411" s="1" t="n">
        <v>46311</v>
      </c>
      <c r="F411" t="inlineStr">
        <is>
          <t>KRONOBERGS LÄN</t>
        </is>
      </c>
      <c r="G411" t="inlineStr">
        <is>
          <t>LJUNGBY</t>
        </is>
      </c>
      <c r="I411" t="n">
        <v>0.6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1061-2024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45301</v>
      </c>
      <c r="E412" s="1" t="n">
        <v>46311</v>
      </c>
      <c r="F412" t="inlineStr">
        <is>
          <t>KRONOBERGS LÄN</t>
        </is>
      </c>
      <c r="G412" t="inlineStr">
        <is>
          <t>LJUNGBY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49552-2023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45211</v>
      </c>
      <c r="E413" s="1" t="n">
        <v>46311</v>
      </c>
      <c r="F413" t="inlineStr">
        <is>
          <t>KRONOBERGS LÄN</t>
        </is>
      </c>
      <c r="G413" t="inlineStr">
        <is>
          <t>LJUNGBY</t>
        </is>
      </c>
      <c r="I413" t="n">
        <v>0.7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37087-2025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45875</v>
      </c>
      <c r="E414" s="1" t="n">
        <v>46311</v>
      </c>
      <c r="F414" t="inlineStr">
        <is>
          <t>KRONOBERGS LÄN</t>
        </is>
      </c>
      <c r="G414" t="inlineStr">
        <is>
          <t>LJUNGBY</t>
        </is>
      </c>
      <c r="I414" t="n">
        <v>0.6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67204-2021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44523</v>
      </c>
      <c r="E415" s="1" t="n">
        <v>46311</v>
      </c>
      <c r="F415" t="inlineStr">
        <is>
          <t>KRONOBERGS LÄN</t>
        </is>
      </c>
      <c r="G415" t="inlineStr">
        <is>
          <t>LJUNGBY</t>
        </is>
      </c>
      <c r="I415" t="n">
        <v>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26882-2024</t>
        </is>
      </c>
      <c r="B416" t="inlineStr">
        <is>
          <t>avverkningsanmälan</t>
        </is>
      </c>
      <c r="C416" t="inlineStr">
        <is>
          <t>Avverkning för annat ändamål</t>
        </is>
      </c>
      <c r="D416" s="1" t="n">
        <v>45470</v>
      </c>
      <c r="E416" s="1" t="n">
        <v>46311</v>
      </c>
      <c r="F416" t="inlineStr">
        <is>
          <t>KRONOBERGS LÄN</t>
        </is>
      </c>
      <c r="G416" t="inlineStr">
        <is>
          <t>LJUNGBY</t>
        </is>
      </c>
      <c r="I416" t="n">
        <v>2.5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37187-2025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45875</v>
      </c>
      <c r="E417" s="1" t="n">
        <v>46311</v>
      </c>
      <c r="F417" t="inlineStr">
        <is>
          <t>KRONOBERGS LÄN</t>
        </is>
      </c>
      <c r="G417" t="inlineStr">
        <is>
          <t>LJUNGBY</t>
        </is>
      </c>
      <c r="I417" t="n">
        <v>0.4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27628-2023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45097</v>
      </c>
      <c r="E418" s="1" t="n">
        <v>46311</v>
      </c>
      <c r="F418" t="inlineStr">
        <is>
          <t>KRONOBERGS LÄN</t>
        </is>
      </c>
      <c r="G418" t="inlineStr">
        <is>
          <t>LJUNGBY</t>
        </is>
      </c>
      <c r="I418" t="n">
        <v>0.5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37688-2025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45880</v>
      </c>
      <c r="E419" s="1" t="n">
        <v>46311</v>
      </c>
      <c r="F419" t="inlineStr">
        <is>
          <t>KRONOBERGS LÄN</t>
        </is>
      </c>
      <c r="G419" t="inlineStr">
        <is>
          <t>LJUNGBY</t>
        </is>
      </c>
      <c r="I419" t="n">
        <v>8.800000000000001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25427-2024</t>
        </is>
      </c>
      <c r="B420" t="inlineStr">
        <is>
          <t>avverkningsanmälan</t>
        </is>
      </c>
      <c r="C420" t="inlineStr">
        <is>
          <t>Avverkning för att bevara och utveckla /försöksver</t>
        </is>
      </c>
      <c r="D420" s="1" t="n">
        <v>45463</v>
      </c>
      <c r="E420" s="1" t="n">
        <v>46311</v>
      </c>
      <c r="F420" t="inlineStr">
        <is>
          <t>KRONOBERGS LÄN</t>
        </is>
      </c>
      <c r="G420" t="inlineStr">
        <is>
          <t>LJUNGBY</t>
        </is>
      </c>
      <c r="H420" t="inlineStr">
        <is>
          <t>Sveaskog</t>
        </is>
      </c>
      <c r="I420" t="n">
        <v>0.7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37779-2025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45880</v>
      </c>
      <c r="E421" s="1" t="n">
        <v>46311</v>
      </c>
      <c r="F421" t="inlineStr">
        <is>
          <t>KRONOBERGS LÄN</t>
        </is>
      </c>
      <c r="G421" t="inlineStr">
        <is>
          <t>LJUNGBY</t>
        </is>
      </c>
      <c r="I421" t="n">
        <v>9.5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37793-2025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45881</v>
      </c>
      <c r="E422" s="1" t="n">
        <v>46311</v>
      </c>
      <c r="F422" t="inlineStr">
        <is>
          <t>KRONOBERGS LÄN</t>
        </is>
      </c>
      <c r="G422" t="inlineStr">
        <is>
          <t>LJUNGBY</t>
        </is>
      </c>
      <c r="I422" t="n">
        <v>1.6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37805-2025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45881</v>
      </c>
      <c r="E423" s="1" t="n">
        <v>46311</v>
      </c>
      <c r="F423" t="inlineStr">
        <is>
          <t>KRONOBERGS LÄN</t>
        </is>
      </c>
      <c r="G423" t="inlineStr">
        <is>
          <t>LJUNGBY</t>
        </is>
      </c>
      <c r="I423" t="n">
        <v>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14844-2022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44656</v>
      </c>
      <c r="E424" s="1" t="n">
        <v>46311</v>
      </c>
      <c r="F424" t="inlineStr">
        <is>
          <t>KRONOBERGS LÄN</t>
        </is>
      </c>
      <c r="G424" t="inlineStr">
        <is>
          <t>LJUNGBY</t>
        </is>
      </c>
      <c r="I424" t="n">
        <v>0.5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11506-2024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45372</v>
      </c>
      <c r="E425" s="1" t="n">
        <v>46311</v>
      </c>
      <c r="F425" t="inlineStr">
        <is>
          <t>KRONOBERGS LÄN</t>
        </is>
      </c>
      <c r="G425" t="inlineStr">
        <is>
          <t>LJUNGBY</t>
        </is>
      </c>
      <c r="I425" t="n">
        <v>0.9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63719-2023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45275</v>
      </c>
      <c r="E426" s="1" t="n">
        <v>46311</v>
      </c>
      <c r="F426" t="inlineStr">
        <is>
          <t>KRONOBERGS LÄN</t>
        </is>
      </c>
      <c r="G426" t="inlineStr">
        <is>
          <t>LJUNGBY</t>
        </is>
      </c>
      <c r="H426" t="inlineStr">
        <is>
          <t>Kyrkan</t>
        </is>
      </c>
      <c r="I426" t="n">
        <v>1.6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59692-2022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44908</v>
      </c>
      <c r="E427" s="1" t="n">
        <v>46311</v>
      </c>
      <c r="F427" t="inlineStr">
        <is>
          <t>KRONOBERGS LÄN</t>
        </is>
      </c>
      <c r="G427" t="inlineStr">
        <is>
          <t>LJUNGBY</t>
        </is>
      </c>
      <c r="H427" t="inlineStr">
        <is>
          <t>Sveaskog</t>
        </is>
      </c>
      <c r="I427" t="n">
        <v>2.3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61193-2022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44915</v>
      </c>
      <c r="E428" s="1" t="n">
        <v>46311</v>
      </c>
      <c r="F428" t="inlineStr">
        <is>
          <t>KRONOBERGS LÄN</t>
        </is>
      </c>
      <c r="G428" t="inlineStr">
        <is>
          <t>LJUNGBY</t>
        </is>
      </c>
      <c r="I428" t="n">
        <v>3.1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1562-2024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45306</v>
      </c>
      <c r="E429" s="1" t="n">
        <v>46311</v>
      </c>
      <c r="F429" t="inlineStr">
        <is>
          <t>KRONOBERGS LÄN</t>
        </is>
      </c>
      <c r="G429" t="inlineStr">
        <is>
          <t>LJUNGBY</t>
        </is>
      </c>
      <c r="I429" t="n">
        <v>3.5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30103-2025</t>
        </is>
      </c>
      <c r="B430" t="inlineStr">
        <is>
          <t>avverkningsanmälan</t>
        </is>
      </c>
      <c r="C430" t="inlineStr">
        <is>
          <t>Avverkning för annat ändamål</t>
        </is>
      </c>
      <c r="D430" s="1" t="n">
        <v>45826</v>
      </c>
      <c r="E430" s="1" t="n">
        <v>46311</v>
      </c>
      <c r="F430" t="inlineStr">
        <is>
          <t>KRONOBERGS LÄN</t>
        </is>
      </c>
      <c r="G430" t="inlineStr">
        <is>
          <t>LJUNGBY</t>
        </is>
      </c>
      <c r="I430" t="n">
        <v>0.9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40415-2025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45895</v>
      </c>
      <c r="E431" s="1" t="n">
        <v>46311</v>
      </c>
      <c r="F431" t="inlineStr">
        <is>
          <t>KRONOBERGS LÄN</t>
        </is>
      </c>
      <c r="G431" t="inlineStr">
        <is>
          <t>LJUNGBY</t>
        </is>
      </c>
      <c r="I431" t="n">
        <v>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8901-2024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45357</v>
      </c>
      <c r="E432" s="1" t="n">
        <v>46311</v>
      </c>
      <c r="F432" t="inlineStr">
        <is>
          <t>KRONOBERGS LÄN</t>
        </is>
      </c>
      <c r="G432" t="inlineStr">
        <is>
          <t>LJUNGBY</t>
        </is>
      </c>
      <c r="I432" t="n">
        <v>5.1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40323-2025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45895</v>
      </c>
      <c r="E433" s="1" t="n">
        <v>46311</v>
      </c>
      <c r="F433" t="inlineStr">
        <is>
          <t>KRONOBERGS LÄN</t>
        </is>
      </c>
      <c r="G433" t="inlineStr">
        <is>
          <t>LJUNGBY</t>
        </is>
      </c>
      <c r="I433" t="n">
        <v>1.1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34160-2023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45137</v>
      </c>
      <c r="E434" s="1" t="n">
        <v>46311</v>
      </c>
      <c r="F434" t="inlineStr">
        <is>
          <t>KRONOBERGS LÄN</t>
        </is>
      </c>
      <c r="G434" t="inlineStr">
        <is>
          <t>LJUNGBY</t>
        </is>
      </c>
      <c r="I434" t="n">
        <v>2.1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40310-2025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45895</v>
      </c>
      <c r="E435" s="1" t="n">
        <v>46311</v>
      </c>
      <c r="F435" t="inlineStr">
        <is>
          <t>KRONOBERGS LÄN</t>
        </is>
      </c>
      <c r="G435" t="inlineStr">
        <is>
          <t>LJUNGBY</t>
        </is>
      </c>
      <c r="H435" t="inlineStr">
        <is>
          <t>Sveaskog</t>
        </is>
      </c>
      <c r="I435" t="n">
        <v>0.4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40311-2025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45895</v>
      </c>
      <c r="E436" s="1" t="n">
        <v>46311</v>
      </c>
      <c r="F436" t="inlineStr">
        <is>
          <t>KRONOBERGS LÄN</t>
        </is>
      </c>
      <c r="G436" t="inlineStr">
        <is>
          <t>LJUNGBY</t>
        </is>
      </c>
      <c r="H436" t="inlineStr">
        <is>
          <t>Sveaskog</t>
        </is>
      </c>
      <c r="I436" t="n">
        <v>0.4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40320-2025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45895</v>
      </c>
      <c r="E437" s="1" t="n">
        <v>46311</v>
      </c>
      <c r="F437" t="inlineStr">
        <is>
          <t>KRONOBERGS LÄN</t>
        </is>
      </c>
      <c r="G437" t="inlineStr">
        <is>
          <t>LJUNGBY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40329-2025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45895</v>
      </c>
      <c r="E438" s="1" t="n">
        <v>46311</v>
      </c>
      <c r="F438" t="inlineStr">
        <is>
          <t>KRONOBERGS LÄN</t>
        </is>
      </c>
      <c r="G438" t="inlineStr">
        <is>
          <t>LJUNGBY</t>
        </is>
      </c>
      <c r="I438" t="n">
        <v>0.4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52709-2022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44874</v>
      </c>
      <c r="E439" s="1" t="n">
        <v>46311</v>
      </c>
      <c r="F439" t="inlineStr">
        <is>
          <t>KRONOBERGS LÄN</t>
        </is>
      </c>
      <c r="G439" t="inlineStr">
        <is>
          <t>LJUNGBY</t>
        </is>
      </c>
      <c r="I439" t="n">
        <v>0.4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61634-2024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45646</v>
      </c>
      <c r="E440" s="1" t="n">
        <v>46311</v>
      </c>
      <c r="F440" t="inlineStr">
        <is>
          <t>KRONOBERGS LÄN</t>
        </is>
      </c>
      <c r="G440" t="inlineStr">
        <is>
          <t>LJUNGBY</t>
        </is>
      </c>
      <c r="I440" t="n">
        <v>3.1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43024-2024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45567</v>
      </c>
      <c r="E441" s="1" t="n">
        <v>46311</v>
      </c>
      <c r="F441" t="inlineStr">
        <is>
          <t>KRONOBERGS LÄN</t>
        </is>
      </c>
      <c r="G441" t="inlineStr">
        <is>
          <t>LJUNGBY</t>
        </is>
      </c>
      <c r="I441" t="n">
        <v>0.7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28323-2023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45099</v>
      </c>
      <c r="E442" s="1" t="n">
        <v>46311</v>
      </c>
      <c r="F442" t="inlineStr">
        <is>
          <t>KRONOBERGS LÄN</t>
        </is>
      </c>
      <c r="G442" t="inlineStr">
        <is>
          <t>LJUNGBY</t>
        </is>
      </c>
      <c r="I442" t="n">
        <v>5.9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16754-2025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45754</v>
      </c>
      <c r="E443" s="1" t="n">
        <v>46311</v>
      </c>
      <c r="F443" t="inlineStr">
        <is>
          <t>KRONOBERGS LÄN</t>
        </is>
      </c>
      <c r="G443" t="inlineStr">
        <is>
          <t>LJUNGBY</t>
        </is>
      </c>
      <c r="I443" t="n">
        <v>0.5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46360-2022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44848</v>
      </c>
      <c r="E444" s="1" t="n">
        <v>46311</v>
      </c>
      <c r="F444" t="inlineStr">
        <is>
          <t>KRONOBERGS LÄN</t>
        </is>
      </c>
      <c r="G444" t="inlineStr">
        <is>
          <t>LJUNGBY</t>
        </is>
      </c>
      <c r="I444" t="n">
        <v>0.9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40894-2025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45897</v>
      </c>
      <c r="E445" s="1" t="n">
        <v>46311</v>
      </c>
      <c r="F445" t="inlineStr">
        <is>
          <t>KRONOBERGS LÄN</t>
        </is>
      </c>
      <c r="G445" t="inlineStr">
        <is>
          <t>LJUNGBY</t>
        </is>
      </c>
      <c r="I445" t="n">
        <v>2.2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13734-2026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46097</v>
      </c>
      <c r="E446" s="1" t="n">
        <v>46311</v>
      </c>
      <c r="F446" t="inlineStr">
        <is>
          <t>KRONOBERGS LÄN</t>
        </is>
      </c>
      <c r="G446" t="inlineStr">
        <is>
          <t>LJUNGBY</t>
        </is>
      </c>
      <c r="I446" t="n">
        <v>1.5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13748-2026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46097</v>
      </c>
      <c r="E447" s="1" t="n">
        <v>46311</v>
      </c>
      <c r="F447" t="inlineStr">
        <is>
          <t>KRONOBERGS LÄN</t>
        </is>
      </c>
      <c r="G447" t="inlineStr">
        <is>
          <t>LJUNGBY</t>
        </is>
      </c>
      <c r="I447" t="n">
        <v>0.5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13534-2026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46094</v>
      </c>
      <c r="E448" s="1" t="n">
        <v>46311</v>
      </c>
      <c r="F448" t="inlineStr">
        <is>
          <t>KRONOBERGS LÄN</t>
        </is>
      </c>
      <c r="G448" t="inlineStr">
        <is>
          <t>LJUNGBY</t>
        </is>
      </c>
      <c r="I448" t="n">
        <v>1.6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13777-2026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46097</v>
      </c>
      <c r="E449" s="1" t="n">
        <v>46311</v>
      </c>
      <c r="F449" t="inlineStr">
        <is>
          <t>KRONOBERGS LÄN</t>
        </is>
      </c>
      <c r="G449" t="inlineStr">
        <is>
          <t>LJUNGBY</t>
        </is>
      </c>
      <c r="I449" t="n">
        <v>2.9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13781-2026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46097</v>
      </c>
      <c r="E450" s="1" t="n">
        <v>46311</v>
      </c>
      <c r="F450" t="inlineStr">
        <is>
          <t>KRONOBERGS LÄN</t>
        </is>
      </c>
      <c r="G450" t="inlineStr">
        <is>
          <t>LJUNGBY</t>
        </is>
      </c>
      <c r="I450" t="n">
        <v>1.4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13741-2026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46097</v>
      </c>
      <c r="E451" s="1" t="n">
        <v>46311</v>
      </c>
      <c r="F451" t="inlineStr">
        <is>
          <t>KRONOBERGS LÄN</t>
        </is>
      </c>
      <c r="G451" t="inlineStr">
        <is>
          <t>LJUNGBY</t>
        </is>
      </c>
      <c r="I451" t="n">
        <v>0.4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50186-2023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45215</v>
      </c>
      <c r="E452" s="1" t="n">
        <v>46311</v>
      </c>
      <c r="F452" t="inlineStr">
        <is>
          <t>KRONOBERGS LÄN</t>
        </is>
      </c>
      <c r="G452" t="inlineStr">
        <is>
          <t>LJUNGBY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38399-2023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45162</v>
      </c>
      <c r="E453" s="1" t="n">
        <v>46311</v>
      </c>
      <c r="F453" t="inlineStr">
        <is>
          <t>KRONOBERGS LÄN</t>
        </is>
      </c>
      <c r="G453" t="inlineStr">
        <is>
          <t>LJUNGBY</t>
        </is>
      </c>
      <c r="I453" t="n">
        <v>0.5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50568-2023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45217</v>
      </c>
      <c r="E454" s="1" t="n">
        <v>46311</v>
      </c>
      <c r="F454" t="inlineStr">
        <is>
          <t>KRONOBERGS LÄN</t>
        </is>
      </c>
      <c r="G454" t="inlineStr">
        <is>
          <t>LJUNGBY</t>
        </is>
      </c>
      <c r="I454" t="n">
        <v>2.7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54614-2024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45617</v>
      </c>
      <c r="E455" s="1" t="n">
        <v>46311</v>
      </c>
      <c r="F455" t="inlineStr">
        <is>
          <t>KRONOBERGS LÄN</t>
        </is>
      </c>
      <c r="G455" t="inlineStr">
        <is>
          <t>LJUNGBY</t>
        </is>
      </c>
      <c r="I455" t="n">
        <v>0.5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42611-2023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45181</v>
      </c>
      <c r="E456" s="1" t="n">
        <v>46311</v>
      </c>
      <c r="F456" t="inlineStr">
        <is>
          <t>KRONOBERGS LÄN</t>
        </is>
      </c>
      <c r="G456" t="inlineStr">
        <is>
          <t>LJUNGBY</t>
        </is>
      </c>
      <c r="I456" t="n">
        <v>0.4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13608-2024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45390</v>
      </c>
      <c r="E457" s="1" t="n">
        <v>46311</v>
      </c>
      <c r="F457" t="inlineStr">
        <is>
          <t>KRONOBERGS LÄN</t>
        </is>
      </c>
      <c r="G457" t="inlineStr">
        <is>
          <t>LJUNGBY</t>
        </is>
      </c>
      <c r="I457" t="n">
        <v>2.1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34405-2024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45525</v>
      </c>
      <c r="E458" s="1" t="n">
        <v>46311</v>
      </c>
      <c r="F458" t="inlineStr">
        <is>
          <t>KRONOBERGS LÄN</t>
        </is>
      </c>
      <c r="G458" t="inlineStr">
        <is>
          <t>LJUNGBY</t>
        </is>
      </c>
      <c r="I458" t="n">
        <v>0.4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42270-2024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45562</v>
      </c>
      <c r="E459" s="1" t="n">
        <v>46311</v>
      </c>
      <c r="F459" t="inlineStr">
        <is>
          <t>KRONOBERGS LÄN</t>
        </is>
      </c>
      <c r="G459" t="inlineStr">
        <is>
          <t>LJUNGBY</t>
        </is>
      </c>
      <c r="I459" t="n">
        <v>0.9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35900-2023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45148</v>
      </c>
      <c r="E460" s="1" t="n">
        <v>46311</v>
      </c>
      <c r="F460" t="inlineStr">
        <is>
          <t>KRONOBERGS LÄN</t>
        </is>
      </c>
      <c r="G460" t="inlineStr">
        <is>
          <t>LJUNGBY</t>
        </is>
      </c>
      <c r="I460" t="n">
        <v>0.5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39835-2023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45168</v>
      </c>
      <c r="E461" s="1" t="n">
        <v>46311</v>
      </c>
      <c r="F461" t="inlineStr">
        <is>
          <t>KRONOBERGS LÄN</t>
        </is>
      </c>
      <c r="G461" t="inlineStr">
        <is>
          <t>LJUNGBY</t>
        </is>
      </c>
      <c r="I461" t="n">
        <v>1.4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55926-2022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44886</v>
      </c>
      <c r="E462" s="1" t="n">
        <v>46311</v>
      </c>
      <c r="F462" t="inlineStr">
        <is>
          <t>KRONOBERGS LÄN</t>
        </is>
      </c>
      <c r="G462" t="inlineStr">
        <is>
          <t>LJUNGBY</t>
        </is>
      </c>
      <c r="H462" t="inlineStr">
        <is>
          <t>Kyrkan</t>
        </is>
      </c>
      <c r="I462" t="n">
        <v>0.8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44166-2023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45188</v>
      </c>
      <c r="E463" s="1" t="n">
        <v>46311</v>
      </c>
      <c r="F463" t="inlineStr">
        <is>
          <t>KRONOBERGS LÄN</t>
        </is>
      </c>
      <c r="G463" t="inlineStr">
        <is>
          <t>LJUNGBY</t>
        </is>
      </c>
      <c r="I463" t="n">
        <v>1.2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9912-2023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44985</v>
      </c>
      <c r="E464" s="1" t="n">
        <v>46311</v>
      </c>
      <c r="F464" t="inlineStr">
        <is>
          <t>KRONOBERGS LÄN</t>
        </is>
      </c>
      <c r="G464" t="inlineStr">
        <is>
          <t>LJUNGBY</t>
        </is>
      </c>
      <c r="I464" t="n">
        <v>2.4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9919-2023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44985</v>
      </c>
      <c r="E465" s="1" t="n">
        <v>46311</v>
      </c>
      <c r="F465" t="inlineStr">
        <is>
          <t>KRONOBERGS LÄN</t>
        </is>
      </c>
      <c r="G465" t="inlineStr">
        <is>
          <t>LJUNGBY</t>
        </is>
      </c>
      <c r="I465" t="n">
        <v>1.2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31528-2023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45116</v>
      </c>
      <c r="E466" s="1" t="n">
        <v>46311</v>
      </c>
      <c r="F466" t="inlineStr">
        <is>
          <t>KRONOBERGS LÄN</t>
        </is>
      </c>
      <c r="G466" t="inlineStr">
        <is>
          <t>LJUNGBY</t>
        </is>
      </c>
      <c r="I466" t="n">
        <v>0.5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31529-2023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45116</v>
      </c>
      <c r="E467" s="1" t="n">
        <v>46311</v>
      </c>
      <c r="F467" t="inlineStr">
        <is>
          <t>KRONOBERGS LÄN</t>
        </is>
      </c>
      <c r="G467" t="inlineStr">
        <is>
          <t>LJUNGBY</t>
        </is>
      </c>
      <c r="I467" t="n">
        <v>0.4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15071-2026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46104</v>
      </c>
      <c r="E468" s="1" t="n">
        <v>46311</v>
      </c>
      <c r="F468" t="inlineStr">
        <is>
          <t>KRONOBERGS LÄN</t>
        </is>
      </c>
      <c r="G468" t="inlineStr">
        <is>
          <t>LJUNGBY</t>
        </is>
      </c>
      <c r="I468" t="n">
        <v>4.7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14908-2026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46104</v>
      </c>
      <c r="E469" s="1" t="n">
        <v>46311</v>
      </c>
      <c r="F469" t="inlineStr">
        <is>
          <t>KRONOBERGS LÄN</t>
        </is>
      </c>
      <c r="G469" t="inlineStr">
        <is>
          <t>LJUNGBY</t>
        </is>
      </c>
      <c r="I469" t="n">
        <v>1.5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8019-2024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45350</v>
      </c>
      <c r="E470" s="1" t="n">
        <v>46311</v>
      </c>
      <c r="F470" t="inlineStr">
        <is>
          <t>KRONOBERGS LÄN</t>
        </is>
      </c>
      <c r="G470" t="inlineStr">
        <is>
          <t>LJUNGBY</t>
        </is>
      </c>
      <c r="I470" t="n">
        <v>4.2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8020-2024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45350</v>
      </c>
      <c r="E471" s="1" t="n">
        <v>46311</v>
      </c>
      <c r="F471" t="inlineStr">
        <is>
          <t>KRONOBERGS LÄN</t>
        </is>
      </c>
      <c r="G471" t="inlineStr">
        <is>
          <t>LJUNGBY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15764-2026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46107</v>
      </c>
      <c r="E472" s="1" t="n">
        <v>46311</v>
      </c>
      <c r="F472" t="inlineStr">
        <is>
          <t>KRONOBERGS LÄN</t>
        </is>
      </c>
      <c r="G472" t="inlineStr">
        <is>
          <t>LJUNGBY</t>
        </is>
      </c>
      <c r="I472" t="n">
        <v>0.5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15660-2026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46106</v>
      </c>
      <c r="E473" s="1" t="n">
        <v>46311</v>
      </c>
      <c r="F473" t="inlineStr">
        <is>
          <t>KRONOBERGS LÄN</t>
        </is>
      </c>
      <c r="G473" t="inlineStr">
        <is>
          <t>LJUNGBY</t>
        </is>
      </c>
      <c r="I473" t="n">
        <v>4.6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15716-2026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46107</v>
      </c>
      <c r="E474" s="1" t="n">
        <v>46311</v>
      </c>
      <c r="F474" t="inlineStr">
        <is>
          <t>KRONOBERGS LÄN</t>
        </is>
      </c>
      <c r="G474" t="inlineStr">
        <is>
          <t>LJUNGBY</t>
        </is>
      </c>
      <c r="I474" t="n">
        <v>5.7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10889-2024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45370</v>
      </c>
      <c r="E475" s="1" t="n">
        <v>46311</v>
      </c>
      <c r="F475" t="inlineStr">
        <is>
          <t>KRONOBERGS LÄN</t>
        </is>
      </c>
      <c r="G475" t="inlineStr">
        <is>
          <t>LJUNGBY</t>
        </is>
      </c>
      <c r="I475" t="n">
        <v>1.9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15766-2026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46107</v>
      </c>
      <c r="E476" s="1" t="n">
        <v>46311</v>
      </c>
      <c r="F476" t="inlineStr">
        <is>
          <t>KRONOBERGS LÄN</t>
        </is>
      </c>
      <c r="G476" t="inlineStr">
        <is>
          <t>LJUNGBY</t>
        </is>
      </c>
      <c r="I476" t="n">
        <v>0.6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15773-2026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46107</v>
      </c>
      <c r="E477" s="1" t="n">
        <v>46311</v>
      </c>
      <c r="F477" t="inlineStr">
        <is>
          <t>KRONOBERGS LÄN</t>
        </is>
      </c>
      <c r="G477" t="inlineStr">
        <is>
          <t>LJUNGBY</t>
        </is>
      </c>
      <c r="I477" t="n">
        <v>0.8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1618-2023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44937</v>
      </c>
      <c r="E478" s="1" t="n">
        <v>46311</v>
      </c>
      <c r="F478" t="inlineStr">
        <is>
          <t>KRONOBERGS LÄN</t>
        </is>
      </c>
      <c r="G478" t="inlineStr">
        <is>
          <t>LJUNGBY</t>
        </is>
      </c>
      <c r="I478" t="n">
        <v>4.6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41798-2025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45902</v>
      </c>
      <c r="E479" s="1" t="n">
        <v>46311</v>
      </c>
      <c r="F479" t="inlineStr">
        <is>
          <t>KRONOBERGS LÄN</t>
        </is>
      </c>
      <c r="G479" t="inlineStr">
        <is>
          <t>LJUNGBY</t>
        </is>
      </c>
      <c r="I479" t="n">
        <v>0.4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63369-2023</t>
        </is>
      </c>
      <c r="B480" t="inlineStr">
        <is>
          <t>avverkningsanmälan</t>
        </is>
      </c>
      <c r="C480" t="inlineStr">
        <is>
          <t>Avverkning för annat ändamål</t>
        </is>
      </c>
      <c r="D480" s="1" t="n">
        <v>45273</v>
      </c>
      <c r="E480" s="1" t="n">
        <v>46311</v>
      </c>
      <c r="F480" t="inlineStr">
        <is>
          <t>KRONOBERGS LÄN</t>
        </is>
      </c>
      <c r="G480" t="inlineStr">
        <is>
          <t>LJUNGBY</t>
        </is>
      </c>
      <c r="I480" t="n">
        <v>0.8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16351-2026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46111</v>
      </c>
      <c r="E481" s="1" t="n">
        <v>46311</v>
      </c>
      <c r="F481" t="inlineStr">
        <is>
          <t>KRONOBERGS LÄN</t>
        </is>
      </c>
      <c r="G481" t="inlineStr">
        <is>
          <t>LJUNGBY</t>
        </is>
      </c>
      <c r="I481" t="n">
        <v>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16275-2026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46111</v>
      </c>
      <c r="E482" s="1" t="n">
        <v>46311</v>
      </c>
      <c r="F482" t="inlineStr">
        <is>
          <t>KRONOBERGS LÄN</t>
        </is>
      </c>
      <c r="G482" t="inlineStr">
        <is>
          <t>LJUNGBY</t>
        </is>
      </c>
      <c r="I482" t="n">
        <v>2.2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16785-2026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46113</v>
      </c>
      <c r="E483" s="1" t="n">
        <v>46311</v>
      </c>
      <c r="F483" t="inlineStr">
        <is>
          <t>KRONOBERGS LÄN</t>
        </is>
      </c>
      <c r="G483" t="inlineStr">
        <is>
          <t>LJUNGBY</t>
        </is>
      </c>
      <c r="I483" t="n">
        <v>0.8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35963-2024</t>
        </is>
      </c>
      <c r="B484" t="inlineStr">
        <is>
          <t>avverkningsanmälan</t>
        </is>
      </c>
      <c r="C484" t="inlineStr">
        <is>
          <t>Avverkning för annat ändamål</t>
        </is>
      </c>
      <c r="D484" s="1" t="n">
        <v>45533</v>
      </c>
      <c r="E484" s="1" t="n">
        <v>46311</v>
      </c>
      <c r="F484" t="inlineStr">
        <is>
          <t>KRONOBERGS LÄN</t>
        </is>
      </c>
      <c r="G484" t="inlineStr">
        <is>
          <t>LJUNGBY</t>
        </is>
      </c>
      <c r="H484" t="inlineStr">
        <is>
          <t>Kyrkan</t>
        </is>
      </c>
      <c r="I484" t="n">
        <v>0.6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16775-2026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46113</v>
      </c>
      <c r="E485" s="1" t="n">
        <v>46311</v>
      </c>
      <c r="F485" t="inlineStr">
        <is>
          <t>KRONOBERGS LÄN</t>
        </is>
      </c>
      <c r="G485" t="inlineStr">
        <is>
          <t>LJUNGBY</t>
        </is>
      </c>
      <c r="I485" t="n">
        <v>0.3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16779-2026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46113</v>
      </c>
      <c r="E486" s="1" t="n">
        <v>46311</v>
      </c>
      <c r="F486" t="inlineStr">
        <is>
          <t>KRONOBERGS LÄN</t>
        </is>
      </c>
      <c r="G486" t="inlineStr">
        <is>
          <t>LJUNGBY</t>
        </is>
      </c>
      <c r="I486" t="n">
        <v>0.6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48675-2024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45593</v>
      </c>
      <c r="E487" s="1" t="n">
        <v>46311</v>
      </c>
      <c r="F487" t="inlineStr">
        <is>
          <t>KRONOBERGS LÄN</t>
        </is>
      </c>
      <c r="G487" t="inlineStr">
        <is>
          <t>LJUNGBY</t>
        </is>
      </c>
      <c r="H487" t="inlineStr">
        <is>
          <t>Sveaskog</t>
        </is>
      </c>
      <c r="I487" t="n">
        <v>0.7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2324-2023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44942</v>
      </c>
      <c r="E488" s="1" t="n">
        <v>46311</v>
      </c>
      <c r="F488" t="inlineStr">
        <is>
          <t>KRONOBERGS LÄN</t>
        </is>
      </c>
      <c r="G488" t="inlineStr">
        <is>
          <t>LJUNGBY</t>
        </is>
      </c>
      <c r="I488" t="n">
        <v>3.8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16772-2026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46113</v>
      </c>
      <c r="E489" s="1" t="n">
        <v>46311</v>
      </c>
      <c r="F489" t="inlineStr">
        <is>
          <t>KRONOBERGS LÄN</t>
        </is>
      </c>
      <c r="G489" t="inlineStr">
        <is>
          <t>LJUNGBY</t>
        </is>
      </c>
      <c r="I489" t="n">
        <v>1.4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16780-2026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46113</v>
      </c>
      <c r="E490" s="1" t="n">
        <v>46311</v>
      </c>
      <c r="F490" t="inlineStr">
        <is>
          <t>KRONOBERGS LÄN</t>
        </is>
      </c>
      <c r="G490" t="inlineStr">
        <is>
          <t>LJUNGBY</t>
        </is>
      </c>
      <c r="I490" t="n">
        <v>0.8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16580-2026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46112</v>
      </c>
      <c r="E491" s="1" t="n">
        <v>46311</v>
      </c>
      <c r="F491" t="inlineStr">
        <is>
          <t>KRONOBERGS LÄN</t>
        </is>
      </c>
      <c r="G491" t="inlineStr">
        <is>
          <t>LJUNGBY</t>
        </is>
      </c>
      <c r="I491" t="n">
        <v>2.1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33122-2023</t>
        </is>
      </c>
      <c r="B492" t="inlineStr">
        <is>
          <t>avverkningsanmälan</t>
        </is>
      </c>
      <c r="C492" t="inlineStr">
        <is>
          <t>Avverkning för annat ändamål</t>
        </is>
      </c>
      <c r="D492" s="1" t="n">
        <v>45126</v>
      </c>
      <c r="E492" s="1" t="n">
        <v>46311</v>
      </c>
      <c r="F492" t="inlineStr">
        <is>
          <t>KRONOBERGS LÄN</t>
        </is>
      </c>
      <c r="G492" t="inlineStr">
        <is>
          <t>LJUNGBY</t>
        </is>
      </c>
      <c r="I492" t="n">
        <v>0.9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49744-2023</t>
        </is>
      </c>
      <c r="B493" t="inlineStr">
        <is>
          <t>avverkningsanmälan</t>
        </is>
      </c>
      <c r="C493" t="inlineStr">
        <is>
          <t>Avverkning för annat ändamål</t>
        </is>
      </c>
      <c r="D493" s="1" t="n">
        <v>45212</v>
      </c>
      <c r="E493" s="1" t="n">
        <v>46311</v>
      </c>
      <c r="F493" t="inlineStr">
        <is>
          <t>KRONOBERGS LÄN</t>
        </is>
      </c>
      <c r="G493" t="inlineStr">
        <is>
          <t>LJUNGBY</t>
        </is>
      </c>
      <c r="I493" t="n">
        <v>0.5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11893-2023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44995</v>
      </c>
      <c r="E494" s="1" t="n">
        <v>46311</v>
      </c>
      <c r="F494" t="inlineStr">
        <is>
          <t>KRONOBERGS LÄN</t>
        </is>
      </c>
      <c r="G494" t="inlineStr">
        <is>
          <t>LJUNGBY</t>
        </is>
      </c>
      <c r="I494" t="n">
        <v>2.1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17238-2026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46119</v>
      </c>
      <c r="E495" s="1" t="n">
        <v>46311</v>
      </c>
      <c r="F495" t="inlineStr">
        <is>
          <t>KRONOBERGS LÄN</t>
        </is>
      </c>
      <c r="G495" t="inlineStr">
        <is>
          <t>LJUNGBY</t>
        </is>
      </c>
      <c r="H495" t="inlineStr">
        <is>
          <t>Sveaskog</t>
        </is>
      </c>
      <c r="I495" t="n">
        <v>14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17246-2026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46119</v>
      </c>
      <c r="E496" s="1" t="n">
        <v>46311</v>
      </c>
      <c r="F496" t="inlineStr">
        <is>
          <t>KRONOBERGS LÄN</t>
        </is>
      </c>
      <c r="G496" t="inlineStr">
        <is>
          <t>LJUNGBY</t>
        </is>
      </c>
      <c r="I496" t="n">
        <v>0.7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34209-2024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45524</v>
      </c>
      <c r="E497" s="1" t="n">
        <v>46311</v>
      </c>
      <c r="F497" t="inlineStr">
        <is>
          <t>KRONOBERGS LÄN</t>
        </is>
      </c>
      <c r="G497" t="inlineStr">
        <is>
          <t>LJUNGBY</t>
        </is>
      </c>
      <c r="I497" t="n">
        <v>12.1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34926-2024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45527</v>
      </c>
      <c r="E498" s="1" t="n">
        <v>46311</v>
      </c>
      <c r="F498" t="inlineStr">
        <is>
          <t>KRONOBERGS LÄN</t>
        </is>
      </c>
      <c r="G498" t="inlineStr">
        <is>
          <t>LJUNGBY</t>
        </is>
      </c>
      <c r="I498" t="n">
        <v>1.5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11509-2024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45372</v>
      </c>
      <c r="E499" s="1" t="n">
        <v>46311</v>
      </c>
      <c r="F499" t="inlineStr">
        <is>
          <t>KRONOBERGS LÄN</t>
        </is>
      </c>
      <c r="G499" t="inlineStr">
        <is>
          <t>LJUNGBY</t>
        </is>
      </c>
      <c r="I499" t="n">
        <v>0.4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17488-2026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46120</v>
      </c>
      <c r="E500" s="1" t="n">
        <v>46311</v>
      </c>
      <c r="F500" t="inlineStr">
        <is>
          <t>KRONOBERGS LÄN</t>
        </is>
      </c>
      <c r="G500" t="inlineStr">
        <is>
          <t>LJUNGBY</t>
        </is>
      </c>
      <c r="I500" t="n">
        <v>0.5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7719-2024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45349</v>
      </c>
      <c r="E501" s="1" t="n">
        <v>46311</v>
      </c>
      <c r="F501" t="inlineStr">
        <is>
          <t>KRONOBERGS LÄN</t>
        </is>
      </c>
      <c r="G501" t="inlineStr">
        <is>
          <t>LJUNGBY</t>
        </is>
      </c>
      <c r="I501" t="n">
        <v>0.7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16241-2022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44670</v>
      </c>
      <c r="E502" s="1" t="n">
        <v>46311</v>
      </c>
      <c r="F502" t="inlineStr">
        <is>
          <t>KRONOBERGS LÄN</t>
        </is>
      </c>
      <c r="G502" t="inlineStr">
        <is>
          <t>LJUNGBY</t>
        </is>
      </c>
      <c r="I502" t="n">
        <v>1.7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57737-2023</t>
        </is>
      </c>
      <c r="B503" t="inlineStr">
        <is>
          <t>avverkningsanmälan</t>
        </is>
      </c>
      <c r="C503" t="inlineStr">
        <is>
          <t>Avverkning för annat ändamål</t>
        </is>
      </c>
      <c r="D503" s="1" t="n">
        <v>45246</v>
      </c>
      <c r="E503" s="1" t="n">
        <v>46311</v>
      </c>
      <c r="F503" t="inlineStr">
        <is>
          <t>KRONOBERGS LÄN</t>
        </is>
      </c>
      <c r="G503" t="inlineStr">
        <is>
          <t>LJUNGBY</t>
        </is>
      </c>
      <c r="I503" t="n">
        <v>1.4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30132-2023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45110</v>
      </c>
      <c r="E504" s="1" t="n">
        <v>46311</v>
      </c>
      <c r="F504" t="inlineStr">
        <is>
          <t>KRONOBERGS LÄN</t>
        </is>
      </c>
      <c r="G504" t="inlineStr">
        <is>
          <t>LJUNGBY</t>
        </is>
      </c>
      <c r="I504" t="n">
        <v>0.4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25616-2023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45089</v>
      </c>
      <c r="E505" s="1" t="n">
        <v>46311</v>
      </c>
      <c r="F505" t="inlineStr">
        <is>
          <t>KRONOBERGS LÄN</t>
        </is>
      </c>
      <c r="G505" t="inlineStr">
        <is>
          <t>LJUNGBY</t>
        </is>
      </c>
      <c r="I505" t="n">
        <v>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12406-2023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44999</v>
      </c>
      <c r="E506" s="1" t="n">
        <v>46311</v>
      </c>
      <c r="F506" t="inlineStr">
        <is>
          <t>KRONOBERGS LÄN</t>
        </is>
      </c>
      <c r="G506" t="inlineStr">
        <is>
          <t>LJUNGBY</t>
        </is>
      </c>
      <c r="I506" t="n">
        <v>0.6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57390-2024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45629</v>
      </c>
      <c r="E507" s="1" t="n">
        <v>46311</v>
      </c>
      <c r="F507" t="inlineStr">
        <is>
          <t>KRONOBERGS LÄN</t>
        </is>
      </c>
      <c r="G507" t="inlineStr">
        <is>
          <t>LJUNGBY</t>
        </is>
      </c>
      <c r="I507" t="n">
        <v>0.5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20284-2023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45056</v>
      </c>
      <c r="E508" s="1" t="n">
        <v>46311</v>
      </c>
      <c r="F508" t="inlineStr">
        <is>
          <t>KRONOBERGS LÄN</t>
        </is>
      </c>
      <c r="G508" t="inlineStr">
        <is>
          <t>LJUNGBY</t>
        </is>
      </c>
      <c r="I508" t="n">
        <v>0.5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44276-2023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45188</v>
      </c>
      <c r="E509" s="1" t="n">
        <v>46311</v>
      </c>
      <c r="F509" t="inlineStr">
        <is>
          <t>KRONOBERGS LÄN</t>
        </is>
      </c>
      <c r="G509" t="inlineStr">
        <is>
          <t>LJUNGBY</t>
        </is>
      </c>
      <c r="I509" t="n">
        <v>3.1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39754-2023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45167</v>
      </c>
      <c r="E510" s="1" t="n">
        <v>46311</v>
      </c>
      <c r="F510" t="inlineStr">
        <is>
          <t>KRONOBERGS LÄN</t>
        </is>
      </c>
      <c r="G510" t="inlineStr">
        <is>
          <t>LJUNGBY</t>
        </is>
      </c>
      <c r="I510" t="n">
        <v>0.8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53345-2024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45614</v>
      </c>
      <c r="E511" s="1" t="n">
        <v>46311</v>
      </c>
      <c r="F511" t="inlineStr">
        <is>
          <t>KRONOBERGS LÄN</t>
        </is>
      </c>
      <c r="G511" t="inlineStr">
        <is>
          <t>LJUNGBY</t>
        </is>
      </c>
      <c r="I511" t="n">
        <v>4.9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52711-2024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45610</v>
      </c>
      <c r="E512" s="1" t="n">
        <v>46311</v>
      </c>
      <c r="F512" t="inlineStr">
        <is>
          <t>KRONOBERGS LÄN</t>
        </is>
      </c>
      <c r="G512" t="inlineStr">
        <is>
          <t>LJUNGBY</t>
        </is>
      </c>
      <c r="I512" t="n">
        <v>0.5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59544-2024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45637</v>
      </c>
      <c r="E513" s="1" t="n">
        <v>46311</v>
      </c>
      <c r="F513" t="inlineStr">
        <is>
          <t>KRONOBERGS LÄN</t>
        </is>
      </c>
      <c r="G513" t="inlineStr">
        <is>
          <t>LJUNGBY</t>
        </is>
      </c>
      <c r="I513" t="n">
        <v>3.7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10189-2025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45719</v>
      </c>
      <c r="E514" s="1" t="n">
        <v>46311</v>
      </c>
      <c r="F514" t="inlineStr">
        <is>
          <t>KRONOBERGS LÄN</t>
        </is>
      </c>
      <c r="G514" t="inlineStr">
        <is>
          <t>LJUNGBY</t>
        </is>
      </c>
      <c r="I514" t="n">
        <v>2.6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24687-2023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45084</v>
      </c>
      <c r="E515" s="1" t="n">
        <v>46311</v>
      </c>
      <c r="F515" t="inlineStr">
        <is>
          <t>KRONOBERGS LÄN</t>
        </is>
      </c>
      <c r="G515" t="inlineStr">
        <is>
          <t>LJUNGBY</t>
        </is>
      </c>
      <c r="I515" t="n">
        <v>4.9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53405-2024</t>
        </is>
      </c>
      <c r="B516" t="inlineStr">
        <is>
          <t>avverkningsanmälan</t>
        </is>
      </c>
      <c r="C516" t="inlineStr">
        <is>
          <t>Avverkning för annat ändamål</t>
        </is>
      </c>
      <c r="D516" s="1" t="n">
        <v>45614</v>
      </c>
      <c r="E516" s="1" t="n">
        <v>46311</v>
      </c>
      <c r="F516" t="inlineStr">
        <is>
          <t>KRONOBERGS LÄN</t>
        </is>
      </c>
      <c r="G516" t="inlineStr">
        <is>
          <t>LJUNGBY</t>
        </is>
      </c>
      <c r="H516" t="inlineStr">
        <is>
          <t>Sveaskog</t>
        </is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50314-2023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45216</v>
      </c>
      <c r="E517" s="1" t="n">
        <v>46311</v>
      </c>
      <c r="F517" t="inlineStr">
        <is>
          <t>KRONOBERGS LÄN</t>
        </is>
      </c>
      <c r="G517" t="inlineStr">
        <is>
          <t>LJUNGBY</t>
        </is>
      </c>
      <c r="I517" t="n">
        <v>7.8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22610-2023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45071</v>
      </c>
      <c r="E518" s="1" t="n">
        <v>46311</v>
      </c>
      <c r="F518" t="inlineStr">
        <is>
          <t>KRONOBERGS LÄN</t>
        </is>
      </c>
      <c r="G518" t="inlineStr">
        <is>
          <t>LJUNGBY</t>
        </is>
      </c>
      <c r="I518" t="n">
        <v>4.1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22613-2023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45071</v>
      </c>
      <c r="E519" s="1" t="n">
        <v>46311</v>
      </c>
      <c r="F519" t="inlineStr">
        <is>
          <t>KRONOBERGS LÄN</t>
        </is>
      </c>
      <c r="G519" t="inlineStr">
        <is>
          <t>LJUNGBY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18777-2026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46128</v>
      </c>
      <c r="E520" s="1" t="n">
        <v>46311</v>
      </c>
      <c r="F520" t="inlineStr">
        <is>
          <t>KRONOBERGS LÄN</t>
        </is>
      </c>
      <c r="G520" t="inlineStr">
        <is>
          <t>LJUNGBY</t>
        </is>
      </c>
      <c r="I520" t="n">
        <v>1.1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1384-2022</t>
        </is>
      </c>
      <c r="B521" t="inlineStr">
        <is>
          <t>avverkningsanmälan</t>
        </is>
      </c>
      <c r="C521" t="inlineStr">
        <is>
          <t>Avverkning för annat ändamål</t>
        </is>
      </c>
      <c r="D521" s="1" t="n">
        <v>44573</v>
      </c>
      <c r="E521" s="1" t="n">
        <v>46311</v>
      </c>
      <c r="F521" t="inlineStr">
        <is>
          <t>KRONOBERGS LÄN</t>
        </is>
      </c>
      <c r="G521" t="inlineStr">
        <is>
          <t>LJUNGBY</t>
        </is>
      </c>
      <c r="H521" t="inlineStr">
        <is>
          <t>Kommuner</t>
        </is>
      </c>
      <c r="I521" t="n">
        <v>5.1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7107-2022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44603</v>
      </c>
      <c r="E522" s="1" t="n">
        <v>46311</v>
      </c>
      <c r="F522" t="inlineStr">
        <is>
          <t>KRONOBERGS LÄN</t>
        </is>
      </c>
      <c r="G522" t="inlineStr">
        <is>
          <t>LJUNGBY</t>
        </is>
      </c>
      <c r="I522" t="n">
        <v>2.6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7113-2022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44603</v>
      </c>
      <c r="E523" s="1" t="n">
        <v>46311</v>
      </c>
      <c r="F523" t="inlineStr">
        <is>
          <t>KRONOBERGS LÄN</t>
        </is>
      </c>
      <c r="G523" t="inlineStr">
        <is>
          <t>LJUNGBY</t>
        </is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7114-2022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44603</v>
      </c>
      <c r="E524" s="1" t="n">
        <v>46311</v>
      </c>
      <c r="F524" t="inlineStr">
        <is>
          <t>KRONOBERGS LÄN</t>
        </is>
      </c>
      <c r="G524" t="inlineStr">
        <is>
          <t>LJUNGBY</t>
        </is>
      </c>
      <c r="I524" t="n">
        <v>1.4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19575-2026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46134</v>
      </c>
      <c r="E525" s="1" t="n">
        <v>46311</v>
      </c>
      <c r="F525" t="inlineStr">
        <is>
          <t>KRONOBERGS LÄN</t>
        </is>
      </c>
      <c r="G525" t="inlineStr">
        <is>
          <t>LJUNGBY</t>
        </is>
      </c>
      <c r="I525" t="n">
        <v>1.1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7374-2024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45345</v>
      </c>
      <c r="E526" s="1" t="n">
        <v>46311</v>
      </c>
      <c r="F526" t="inlineStr">
        <is>
          <t>KRONOBERGS LÄN</t>
        </is>
      </c>
      <c r="G526" t="inlineStr">
        <is>
          <t>LJUNGBY</t>
        </is>
      </c>
      <c r="I526" t="n">
        <v>6.3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19581-2026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46134</v>
      </c>
      <c r="E527" s="1" t="n">
        <v>46311</v>
      </c>
      <c r="F527" t="inlineStr">
        <is>
          <t>KRONOBERGS LÄN</t>
        </is>
      </c>
      <c r="G527" t="inlineStr">
        <is>
          <t>LJUNGBY</t>
        </is>
      </c>
      <c r="I527" t="n">
        <v>0.5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19585-2026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46134</v>
      </c>
      <c r="E528" s="1" t="n">
        <v>46311</v>
      </c>
      <c r="F528" t="inlineStr">
        <is>
          <t>KRONOBERGS LÄN</t>
        </is>
      </c>
      <c r="G528" t="inlineStr">
        <is>
          <t>LJUNGBY</t>
        </is>
      </c>
      <c r="I528" t="n">
        <v>0.6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3074-2022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44582</v>
      </c>
      <c r="E529" s="1" t="n">
        <v>46311</v>
      </c>
      <c r="F529" t="inlineStr">
        <is>
          <t>KRONOBERGS LÄN</t>
        </is>
      </c>
      <c r="G529" t="inlineStr">
        <is>
          <t>LJUNGBY</t>
        </is>
      </c>
      <c r="I529" t="n">
        <v>1.2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21484-2024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45441</v>
      </c>
      <c r="E530" s="1" t="n">
        <v>46311</v>
      </c>
      <c r="F530" t="inlineStr">
        <is>
          <t>KRONOBERGS LÄN</t>
        </is>
      </c>
      <c r="G530" t="inlineStr">
        <is>
          <t>LJUNGBY</t>
        </is>
      </c>
      <c r="I530" t="n">
        <v>2.6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7597-2025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45705</v>
      </c>
      <c r="E531" s="1" t="n">
        <v>46311</v>
      </c>
      <c r="F531" t="inlineStr">
        <is>
          <t>KRONOBERGS LÄN</t>
        </is>
      </c>
      <c r="G531" t="inlineStr">
        <is>
          <t>LJUNGBY</t>
        </is>
      </c>
      <c r="I531" t="n">
        <v>0.6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34101-2025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45845</v>
      </c>
      <c r="E532" s="1" t="n">
        <v>46311</v>
      </c>
      <c r="F532" t="inlineStr">
        <is>
          <t>KRONOBERGS LÄN</t>
        </is>
      </c>
      <c r="G532" t="inlineStr">
        <is>
          <t>LJUNGBY</t>
        </is>
      </c>
      <c r="I532" t="n">
        <v>1.4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22012-2025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45784</v>
      </c>
      <c r="E533" s="1" t="n">
        <v>46311</v>
      </c>
      <c r="F533" t="inlineStr">
        <is>
          <t>KRONOBERGS LÄN</t>
        </is>
      </c>
      <c r="G533" t="inlineStr">
        <is>
          <t>LJUNGBY</t>
        </is>
      </c>
      <c r="I533" t="n">
        <v>0.9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12787-2025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45733</v>
      </c>
      <c r="E534" s="1" t="n">
        <v>46311</v>
      </c>
      <c r="F534" t="inlineStr">
        <is>
          <t>KRONOBERGS LÄN</t>
        </is>
      </c>
      <c r="G534" t="inlineStr">
        <is>
          <t>LJUNGBY</t>
        </is>
      </c>
      <c r="I534" t="n">
        <v>1.5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48147-2023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45205</v>
      </c>
      <c r="E535" s="1" t="n">
        <v>46311</v>
      </c>
      <c r="F535" t="inlineStr">
        <is>
          <t>KRONOBERGS LÄN</t>
        </is>
      </c>
      <c r="G535" t="inlineStr">
        <is>
          <t>LJUNGBY</t>
        </is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48243-2023</t>
        </is>
      </c>
      <c r="B536" t="inlineStr">
        <is>
          <t>avverkningsanmälan</t>
        </is>
      </c>
      <c r="C536" t="inlineStr">
        <is>
          <t>Avverkning för annat ändamål</t>
        </is>
      </c>
      <c r="D536" s="1" t="n">
        <v>45205</v>
      </c>
      <c r="E536" s="1" t="n">
        <v>46311</v>
      </c>
      <c r="F536" t="inlineStr">
        <is>
          <t>KRONOBERGS LÄN</t>
        </is>
      </c>
      <c r="G536" t="inlineStr">
        <is>
          <t>LJUNGBY</t>
        </is>
      </c>
      <c r="I536" t="n">
        <v>1.1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2845-2023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44945</v>
      </c>
      <c r="E537" s="1" t="n">
        <v>46311</v>
      </c>
      <c r="F537" t="inlineStr">
        <is>
          <t>KRONOBERGS LÄN</t>
        </is>
      </c>
      <c r="G537" t="inlineStr">
        <is>
          <t>LJUNGBY</t>
        </is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10675-2023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44988</v>
      </c>
      <c r="E538" s="1" t="n">
        <v>46311</v>
      </c>
      <c r="F538" t="inlineStr">
        <is>
          <t>KRONOBERGS LÄN</t>
        </is>
      </c>
      <c r="G538" t="inlineStr">
        <is>
          <t>LJUNGBY</t>
        </is>
      </c>
      <c r="I538" t="n">
        <v>0.7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42679-2025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45908</v>
      </c>
      <c r="E539" s="1" t="n">
        <v>46311</v>
      </c>
      <c r="F539" t="inlineStr">
        <is>
          <t>KRONOBERGS LÄN</t>
        </is>
      </c>
      <c r="G539" t="inlineStr">
        <is>
          <t>LJUNGBY</t>
        </is>
      </c>
      <c r="I539" t="n">
        <v>0.4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30720-2025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45831</v>
      </c>
      <c r="E540" s="1" t="n">
        <v>46311</v>
      </c>
      <c r="F540" t="inlineStr">
        <is>
          <t>KRONOBERGS LÄN</t>
        </is>
      </c>
      <c r="G540" t="inlineStr">
        <is>
          <t>LJUNGBY</t>
        </is>
      </c>
      <c r="I540" t="n">
        <v>1.6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41979-2025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45903</v>
      </c>
      <c r="E541" s="1" t="n">
        <v>46311</v>
      </c>
      <c r="F541" t="inlineStr">
        <is>
          <t>KRONOBERGS LÄN</t>
        </is>
      </c>
      <c r="G541" t="inlineStr">
        <is>
          <t>LJUNGBY</t>
        </is>
      </c>
      <c r="I541" t="n">
        <v>5.2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56387-2023</t>
        </is>
      </c>
      <c r="B542" t="inlineStr">
        <is>
          <t>avverkningsanmälan</t>
        </is>
      </c>
      <c r="C542" t="inlineStr">
        <is>
          <t>Avverkning för annat ändamål</t>
        </is>
      </c>
      <c r="D542" s="1" t="n">
        <v>45243</v>
      </c>
      <c r="E542" s="1" t="n">
        <v>46311</v>
      </c>
      <c r="F542" t="inlineStr">
        <is>
          <t>KRONOBERGS LÄN</t>
        </is>
      </c>
      <c r="G542" t="inlineStr">
        <is>
          <t>LJUNGBY</t>
        </is>
      </c>
      <c r="I542" t="n">
        <v>0.8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18911-2024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45427</v>
      </c>
      <c r="E543" s="1" t="n">
        <v>46311</v>
      </c>
      <c r="F543" t="inlineStr">
        <is>
          <t>KRONOBERGS LÄN</t>
        </is>
      </c>
      <c r="G543" t="inlineStr">
        <is>
          <t>LJUNGBY</t>
        </is>
      </c>
      <c r="I543" t="n">
        <v>9.6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27006-2022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44740</v>
      </c>
      <c r="E544" s="1" t="n">
        <v>46311</v>
      </c>
      <c r="F544" t="inlineStr">
        <is>
          <t>KRONOBERGS LÄN</t>
        </is>
      </c>
      <c r="G544" t="inlineStr">
        <is>
          <t>LJUNGBY</t>
        </is>
      </c>
      <c r="I544" t="n">
        <v>0.6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42592-2023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45176</v>
      </c>
      <c r="E545" s="1" t="n">
        <v>46311</v>
      </c>
      <c r="F545" t="inlineStr">
        <is>
          <t>KRONOBERGS LÄN</t>
        </is>
      </c>
      <c r="G545" t="inlineStr">
        <is>
          <t>LJUNGBY</t>
        </is>
      </c>
      <c r="H545" t="inlineStr">
        <is>
          <t>Kyrkan</t>
        </is>
      </c>
      <c r="I545" t="n">
        <v>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62978-2023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45272</v>
      </c>
      <c r="E546" s="1" t="n">
        <v>46311</v>
      </c>
      <c r="F546" t="inlineStr">
        <is>
          <t>KRONOBERGS LÄN</t>
        </is>
      </c>
      <c r="G546" t="inlineStr">
        <is>
          <t>LJUNGBY</t>
        </is>
      </c>
      <c r="I546" t="n">
        <v>0.7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52843-2023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45226</v>
      </c>
      <c r="E547" s="1" t="n">
        <v>46311</v>
      </c>
      <c r="F547" t="inlineStr">
        <is>
          <t>KRONOBERGS LÄN</t>
        </is>
      </c>
      <c r="G547" t="inlineStr">
        <is>
          <t>LJUNGBY</t>
        </is>
      </c>
      <c r="I547" t="n">
        <v>3.6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32637-2025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45838</v>
      </c>
      <c r="E548" s="1" t="n">
        <v>46311</v>
      </c>
      <c r="F548" t="inlineStr">
        <is>
          <t>KRONOBERGS LÄN</t>
        </is>
      </c>
      <c r="G548" t="inlineStr">
        <is>
          <t>LJUNGBY</t>
        </is>
      </c>
      <c r="I548" t="n">
        <v>1.9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29336-2024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45483</v>
      </c>
      <c r="E549" s="1" t="n">
        <v>46311</v>
      </c>
      <c r="F549" t="inlineStr">
        <is>
          <t>KRONOBERGS LÄN</t>
        </is>
      </c>
      <c r="G549" t="inlineStr">
        <is>
          <t>LJUNGBY</t>
        </is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11552-2025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45727</v>
      </c>
      <c r="E550" s="1" t="n">
        <v>46311</v>
      </c>
      <c r="F550" t="inlineStr">
        <is>
          <t>KRONOBERGS LÄN</t>
        </is>
      </c>
      <c r="G550" t="inlineStr">
        <is>
          <t>LJUNGBY</t>
        </is>
      </c>
      <c r="I550" t="n">
        <v>2.2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3203-2023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44946</v>
      </c>
      <c r="E551" s="1" t="n">
        <v>46311</v>
      </c>
      <c r="F551" t="inlineStr">
        <is>
          <t>KRONOBERGS LÄN</t>
        </is>
      </c>
      <c r="G551" t="inlineStr">
        <is>
          <t>LJUNGBY</t>
        </is>
      </c>
      <c r="H551" t="inlineStr">
        <is>
          <t>Kommuner</t>
        </is>
      </c>
      <c r="I551" t="n">
        <v>2.3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43343-2023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45183</v>
      </c>
      <c r="E552" s="1" t="n">
        <v>46311</v>
      </c>
      <c r="F552" t="inlineStr">
        <is>
          <t>KRONOBERGS LÄN</t>
        </is>
      </c>
      <c r="G552" t="inlineStr">
        <is>
          <t>LJUNGBY</t>
        </is>
      </c>
      <c r="I552" t="n">
        <v>0.7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24399-2023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45082</v>
      </c>
      <c r="E553" s="1" t="n">
        <v>46311</v>
      </c>
      <c r="F553" t="inlineStr">
        <is>
          <t>KRONOBERGS LÄN</t>
        </is>
      </c>
      <c r="G553" t="inlineStr">
        <is>
          <t>LJUNGBY</t>
        </is>
      </c>
      <c r="I553" t="n">
        <v>1.7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37374-2022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44809</v>
      </c>
      <c r="E554" s="1" t="n">
        <v>46311</v>
      </c>
      <c r="F554" t="inlineStr">
        <is>
          <t>KRONOBERGS LÄN</t>
        </is>
      </c>
      <c r="G554" t="inlineStr">
        <is>
          <t>LJUNGBY</t>
        </is>
      </c>
      <c r="I554" t="n">
        <v>3.9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37661-2025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45880</v>
      </c>
      <c r="E555" s="1" t="n">
        <v>46311</v>
      </c>
      <c r="F555" t="inlineStr">
        <is>
          <t>KRONOBERGS LÄN</t>
        </is>
      </c>
      <c r="G555" t="inlineStr">
        <is>
          <t>LJUNGBY</t>
        </is>
      </c>
      <c r="I555" t="n">
        <v>5.6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42494-2025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45905</v>
      </c>
      <c r="E556" s="1" t="n">
        <v>46311</v>
      </c>
      <c r="F556" t="inlineStr">
        <is>
          <t>KRONOBERGS LÄN</t>
        </is>
      </c>
      <c r="G556" t="inlineStr">
        <is>
          <t>LJUNGBY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19143-2025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45769</v>
      </c>
      <c r="E557" s="1" t="n">
        <v>46311</v>
      </c>
      <c r="F557" t="inlineStr">
        <is>
          <t>KRONOBERGS LÄN</t>
        </is>
      </c>
      <c r="G557" t="inlineStr">
        <is>
          <t>LJUNGBY</t>
        </is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12939-2022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44642</v>
      </c>
      <c r="E558" s="1" t="n">
        <v>46311</v>
      </c>
      <c r="F558" t="inlineStr">
        <is>
          <t>KRONOBERGS LÄN</t>
        </is>
      </c>
      <c r="G558" t="inlineStr">
        <is>
          <t>LJUNGBY</t>
        </is>
      </c>
      <c r="I558" t="n">
        <v>1.9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3230-2025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45679</v>
      </c>
      <c r="E559" s="1" t="n">
        <v>46311</v>
      </c>
      <c r="F559" t="inlineStr">
        <is>
          <t>KRONOBERGS LÄN</t>
        </is>
      </c>
      <c r="G559" t="inlineStr">
        <is>
          <t>LJUNGBY</t>
        </is>
      </c>
      <c r="I559" t="n">
        <v>7.3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56818-2024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45628</v>
      </c>
      <c r="E560" s="1" t="n">
        <v>46311</v>
      </c>
      <c r="F560" t="inlineStr">
        <is>
          <t>KRONOBERGS LÄN</t>
        </is>
      </c>
      <c r="G560" t="inlineStr">
        <is>
          <t>LJUNGBY</t>
        </is>
      </c>
      <c r="I560" t="n">
        <v>0.6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24787-2023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45084</v>
      </c>
      <c r="E561" s="1" t="n">
        <v>46311</v>
      </c>
      <c r="F561" t="inlineStr">
        <is>
          <t>KRONOBERGS LÄN</t>
        </is>
      </c>
      <c r="G561" t="inlineStr">
        <is>
          <t>LJUNGBY</t>
        </is>
      </c>
      <c r="I561" t="n">
        <v>2.6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7010-2026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46057</v>
      </c>
      <c r="E562" s="1" t="n">
        <v>46311</v>
      </c>
      <c r="F562" t="inlineStr">
        <is>
          <t>KRONOBERGS LÄN</t>
        </is>
      </c>
      <c r="G562" t="inlineStr">
        <is>
          <t>LJUNGBY</t>
        </is>
      </c>
      <c r="I562" t="n">
        <v>4.5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18931-2025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45764</v>
      </c>
      <c r="E563" s="1" t="n">
        <v>46311</v>
      </c>
      <c r="F563" t="inlineStr">
        <is>
          <t>KRONOBERGS LÄN</t>
        </is>
      </c>
      <c r="G563" t="inlineStr">
        <is>
          <t>LJUNGBY</t>
        </is>
      </c>
      <c r="I563" t="n">
        <v>1.5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11784-2022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44634</v>
      </c>
      <c r="E564" s="1" t="n">
        <v>46311</v>
      </c>
      <c r="F564" t="inlineStr">
        <is>
          <t>KRONOBERGS LÄN</t>
        </is>
      </c>
      <c r="G564" t="inlineStr">
        <is>
          <t>LJUNGBY</t>
        </is>
      </c>
      <c r="I564" t="n">
        <v>1.7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44269-2025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45916</v>
      </c>
      <c r="E565" s="1" t="n">
        <v>46311</v>
      </c>
      <c r="F565" t="inlineStr">
        <is>
          <t>KRONOBERGS LÄN</t>
        </is>
      </c>
      <c r="G565" t="inlineStr">
        <is>
          <t>LJUNGBY</t>
        </is>
      </c>
      <c r="I565" t="n">
        <v>1.4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11781-2022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44634</v>
      </c>
      <c r="E566" s="1" t="n">
        <v>46311</v>
      </c>
      <c r="F566" t="inlineStr">
        <is>
          <t>KRONOBERGS LÄN</t>
        </is>
      </c>
      <c r="G566" t="inlineStr">
        <is>
          <t>LJUNGBY</t>
        </is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53789-2024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45615</v>
      </c>
      <c r="E567" s="1" t="n">
        <v>46311</v>
      </c>
      <c r="F567" t="inlineStr">
        <is>
          <t>KRONOBERGS LÄN</t>
        </is>
      </c>
      <c r="G567" t="inlineStr">
        <is>
          <t>LJUNGBY</t>
        </is>
      </c>
      <c r="I567" t="n">
        <v>0.6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14718-2025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45742</v>
      </c>
      <c r="E568" s="1" t="n">
        <v>46311</v>
      </c>
      <c r="F568" t="inlineStr">
        <is>
          <t>KRONOBERGS LÄN</t>
        </is>
      </c>
      <c r="G568" t="inlineStr">
        <is>
          <t>LJUNGBY</t>
        </is>
      </c>
      <c r="I568" t="n">
        <v>11.4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56774-2024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45628</v>
      </c>
      <c r="E569" s="1" t="n">
        <v>46311</v>
      </c>
      <c r="F569" t="inlineStr">
        <is>
          <t>KRONOBERGS LÄN</t>
        </is>
      </c>
      <c r="G569" t="inlineStr">
        <is>
          <t>LJUNGBY</t>
        </is>
      </c>
      <c r="I569" t="n">
        <v>2.4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20575-2026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46140</v>
      </c>
      <c r="E570" s="1" t="n">
        <v>46311</v>
      </c>
      <c r="F570" t="inlineStr">
        <is>
          <t>KRONOBERGS LÄN</t>
        </is>
      </c>
      <c r="G570" t="inlineStr">
        <is>
          <t>LJUNGBY</t>
        </is>
      </c>
      <c r="I570" t="n">
        <v>1.1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42465-2025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45905</v>
      </c>
      <c r="E571" s="1" t="n">
        <v>46311</v>
      </c>
      <c r="F571" t="inlineStr">
        <is>
          <t>KRONOBERGS LÄN</t>
        </is>
      </c>
      <c r="G571" t="inlineStr">
        <is>
          <t>LJUNGBY</t>
        </is>
      </c>
      <c r="I571" t="n">
        <v>7.1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5392-2023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44959</v>
      </c>
      <c r="E572" s="1" t="n">
        <v>46311</v>
      </c>
      <c r="F572" t="inlineStr">
        <is>
          <t>KRONOBERGS LÄN</t>
        </is>
      </c>
      <c r="G572" t="inlineStr">
        <is>
          <t>LJUNGBY</t>
        </is>
      </c>
      <c r="I572" t="n">
        <v>0.4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62364-2022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44923</v>
      </c>
      <c r="E573" s="1" t="n">
        <v>46311</v>
      </c>
      <c r="F573" t="inlineStr">
        <is>
          <t>KRONOBERGS LÄN</t>
        </is>
      </c>
      <c r="G573" t="inlineStr">
        <is>
          <t>LJUNGBY</t>
        </is>
      </c>
      <c r="I573" t="n">
        <v>1.1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62366-2022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44923</v>
      </c>
      <c r="E574" s="1" t="n">
        <v>46311</v>
      </c>
      <c r="F574" t="inlineStr">
        <is>
          <t>KRONOBERGS LÄN</t>
        </is>
      </c>
      <c r="G574" t="inlineStr">
        <is>
          <t>LJUNGBY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53411-2024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45614</v>
      </c>
      <c r="E575" s="1" t="n">
        <v>46311</v>
      </c>
      <c r="F575" t="inlineStr">
        <is>
          <t>KRONOBERGS LÄN</t>
        </is>
      </c>
      <c r="G575" t="inlineStr">
        <is>
          <t>LJUNGBY</t>
        </is>
      </c>
      <c r="H575" t="inlineStr">
        <is>
          <t>Sveaskog</t>
        </is>
      </c>
      <c r="I575" t="n">
        <v>0.5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20572-2026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46140</v>
      </c>
      <c r="E576" s="1" t="n">
        <v>46311</v>
      </c>
      <c r="F576" t="inlineStr">
        <is>
          <t>KRONOBERGS LÄN</t>
        </is>
      </c>
      <c r="G576" t="inlineStr">
        <is>
          <t>LJUNGBY</t>
        </is>
      </c>
      <c r="I576" t="n">
        <v>1.3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22153-2023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45069</v>
      </c>
      <c r="E577" s="1" t="n">
        <v>46311</v>
      </c>
      <c r="F577" t="inlineStr">
        <is>
          <t>KRONOBERGS LÄN</t>
        </is>
      </c>
      <c r="G577" t="inlineStr">
        <is>
          <t>LJUNGBY</t>
        </is>
      </c>
      <c r="I577" t="n">
        <v>1.4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9629-2022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44617</v>
      </c>
      <c r="E578" s="1" t="n">
        <v>46311</v>
      </c>
      <c r="F578" t="inlineStr">
        <is>
          <t>KRONOBERGS LÄN</t>
        </is>
      </c>
      <c r="G578" t="inlineStr">
        <is>
          <t>LJUNGBY</t>
        </is>
      </c>
      <c r="H578" t="inlineStr">
        <is>
          <t>Kyrkan</t>
        </is>
      </c>
      <c r="I578" t="n">
        <v>1.3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5403-2023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44959</v>
      </c>
      <c r="E579" s="1" t="n">
        <v>46311</v>
      </c>
      <c r="F579" t="inlineStr">
        <is>
          <t>KRONOBERGS LÄN</t>
        </is>
      </c>
      <c r="G579" t="inlineStr">
        <is>
          <t>LJUNGBY</t>
        </is>
      </c>
      <c r="I579" t="n">
        <v>0.3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1043-2024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45301</v>
      </c>
      <c r="E580" s="1" t="n">
        <v>46311</v>
      </c>
      <c r="F580" t="inlineStr">
        <is>
          <t>KRONOBERGS LÄN</t>
        </is>
      </c>
      <c r="G580" t="inlineStr">
        <is>
          <t>LJUNGBY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42680-2025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45908</v>
      </c>
      <c r="E581" s="1" t="n">
        <v>46311</v>
      </c>
      <c r="F581" t="inlineStr">
        <is>
          <t>KRONOBERGS LÄN</t>
        </is>
      </c>
      <c r="G581" t="inlineStr">
        <is>
          <t>LJUNGBY</t>
        </is>
      </c>
      <c r="I581" t="n">
        <v>2.2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56780-2024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45628</v>
      </c>
      <c r="E582" s="1" t="n">
        <v>46311</v>
      </c>
      <c r="F582" t="inlineStr">
        <is>
          <t>KRONOBERGS LÄN</t>
        </is>
      </c>
      <c r="G582" t="inlineStr">
        <is>
          <t>LJUNGBY</t>
        </is>
      </c>
      <c r="I582" t="n">
        <v>1.7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2693-2025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45677</v>
      </c>
      <c r="E583" s="1" t="n">
        <v>46311</v>
      </c>
      <c r="F583" t="inlineStr">
        <is>
          <t>KRONOBERGS LÄN</t>
        </is>
      </c>
      <c r="G583" t="inlineStr">
        <is>
          <t>LJUNGBY</t>
        </is>
      </c>
      <c r="I583" t="n">
        <v>0.5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3225-2025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45679</v>
      </c>
      <c r="E584" s="1" t="n">
        <v>46311</v>
      </c>
      <c r="F584" t="inlineStr">
        <is>
          <t>KRONOBERGS LÄN</t>
        </is>
      </c>
      <c r="G584" t="inlineStr">
        <is>
          <t>LJUNGBY</t>
        </is>
      </c>
      <c r="I584" t="n">
        <v>20.8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26972-2025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45811</v>
      </c>
      <c r="E585" s="1" t="n">
        <v>46311</v>
      </c>
      <c r="F585" t="inlineStr">
        <is>
          <t>KRONOBERGS LÄN</t>
        </is>
      </c>
      <c r="G585" t="inlineStr">
        <is>
          <t>LJUNGBY</t>
        </is>
      </c>
      <c r="I585" t="n">
        <v>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56205-2023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45240</v>
      </c>
      <c r="E586" s="1" t="n">
        <v>46311</v>
      </c>
      <c r="F586" t="inlineStr">
        <is>
          <t>KRONOBERGS LÄN</t>
        </is>
      </c>
      <c r="G586" t="inlineStr">
        <is>
          <t>LJUNGBY</t>
        </is>
      </c>
      <c r="I586" t="n">
        <v>1.1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55282-2024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45621</v>
      </c>
      <c r="E587" s="1" t="n">
        <v>46311</v>
      </c>
      <c r="F587" t="inlineStr">
        <is>
          <t>KRONOBERGS LÄN</t>
        </is>
      </c>
      <c r="G587" t="inlineStr">
        <is>
          <t>LJUNGBY</t>
        </is>
      </c>
      <c r="I587" t="n">
        <v>1.1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54882-2024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45618</v>
      </c>
      <c r="E588" s="1" t="n">
        <v>46311</v>
      </c>
      <c r="F588" t="inlineStr">
        <is>
          <t>KRONOBERGS LÄN</t>
        </is>
      </c>
      <c r="G588" t="inlineStr">
        <is>
          <t>LJUNGBY</t>
        </is>
      </c>
      <c r="I588" t="n">
        <v>0.7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27810-2024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45475</v>
      </c>
      <c r="E589" s="1" t="n">
        <v>46311</v>
      </c>
      <c r="F589" t="inlineStr">
        <is>
          <t>KRONOBERGS LÄN</t>
        </is>
      </c>
      <c r="G589" t="inlineStr">
        <is>
          <t>LJUNGBY</t>
        </is>
      </c>
      <c r="I589" t="n">
        <v>2.2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13480-2023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45005</v>
      </c>
      <c r="E590" s="1" t="n">
        <v>46311</v>
      </c>
      <c r="F590" t="inlineStr">
        <is>
          <t>KRONOBERGS LÄN</t>
        </is>
      </c>
      <c r="G590" t="inlineStr">
        <is>
          <t>LJUNGBY</t>
        </is>
      </c>
      <c r="I590" t="n">
        <v>10.3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52858-2024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45610</v>
      </c>
      <c r="E591" s="1" t="n">
        <v>46311</v>
      </c>
      <c r="F591" t="inlineStr">
        <is>
          <t>KRONOBERGS LÄN</t>
        </is>
      </c>
      <c r="G591" t="inlineStr">
        <is>
          <t>LJUNGBY</t>
        </is>
      </c>
      <c r="I591" t="n">
        <v>0.8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42190-2023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45179</v>
      </c>
      <c r="E592" s="1" t="n">
        <v>46311</v>
      </c>
      <c r="F592" t="inlineStr">
        <is>
          <t>KRONOBERGS LÄN</t>
        </is>
      </c>
      <c r="G592" t="inlineStr">
        <is>
          <t>LJUNGBY</t>
        </is>
      </c>
      <c r="I592" t="n">
        <v>5.7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20388-2026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46139</v>
      </c>
      <c r="E593" s="1" t="n">
        <v>46311</v>
      </c>
      <c r="F593" t="inlineStr">
        <is>
          <t>KRONOBERGS LÄN</t>
        </is>
      </c>
      <c r="G593" t="inlineStr">
        <is>
          <t>LJUNGBY</t>
        </is>
      </c>
      <c r="I593" t="n">
        <v>4.2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43267-2025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45910</v>
      </c>
      <c r="E594" s="1" t="n">
        <v>46311</v>
      </c>
      <c r="F594" t="inlineStr">
        <is>
          <t>KRONOBERGS LÄN</t>
        </is>
      </c>
      <c r="G594" t="inlineStr">
        <is>
          <t>LJUNGBY</t>
        </is>
      </c>
      <c r="I594" t="n">
        <v>1.7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23654-2022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44721</v>
      </c>
      <c r="E595" s="1" t="n">
        <v>46311</v>
      </c>
      <c r="F595" t="inlineStr">
        <is>
          <t>KRONOBERGS LÄN</t>
        </is>
      </c>
      <c r="G595" t="inlineStr">
        <is>
          <t>LJUNGBY</t>
        </is>
      </c>
      <c r="I595" t="n">
        <v>1.7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11777-2022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44634</v>
      </c>
      <c r="E596" s="1" t="n">
        <v>46311</v>
      </c>
      <c r="F596" t="inlineStr">
        <is>
          <t>KRONOBERGS LÄN</t>
        </is>
      </c>
      <c r="G596" t="inlineStr">
        <is>
          <t>LJUNGBY</t>
        </is>
      </c>
      <c r="I596" t="n">
        <v>0.5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20335-2026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46139</v>
      </c>
      <c r="E597" s="1" t="n">
        <v>46311</v>
      </c>
      <c r="F597" t="inlineStr">
        <is>
          <t>KRONOBERGS LÄN</t>
        </is>
      </c>
      <c r="G597" t="inlineStr">
        <is>
          <t>LJUNGBY</t>
        </is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75-2023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44928</v>
      </c>
      <c r="E598" s="1" t="n">
        <v>46311</v>
      </c>
      <c r="F598" t="inlineStr">
        <is>
          <t>KRONOBERGS LÄN</t>
        </is>
      </c>
      <c r="G598" t="inlineStr">
        <is>
          <t>LJUNGBY</t>
        </is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46869-2022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44851</v>
      </c>
      <c r="E599" s="1" t="n">
        <v>46311</v>
      </c>
      <c r="F599" t="inlineStr">
        <is>
          <t>KRONOBERGS LÄN</t>
        </is>
      </c>
      <c r="G599" t="inlineStr">
        <is>
          <t>LJUNGBY</t>
        </is>
      </c>
      <c r="H599" t="inlineStr">
        <is>
          <t>Sveaskog</t>
        </is>
      </c>
      <c r="I599" t="n">
        <v>0.7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3879-2025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45684</v>
      </c>
      <c r="E600" s="1" t="n">
        <v>46311</v>
      </c>
      <c r="F600" t="inlineStr">
        <is>
          <t>KRONOBERGS LÄN</t>
        </is>
      </c>
      <c r="G600" t="inlineStr">
        <is>
          <t>LJUNGBY</t>
        </is>
      </c>
      <c r="I600" t="n">
        <v>0.6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24583-2025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45798</v>
      </c>
      <c r="E601" s="1" t="n">
        <v>46311</v>
      </c>
      <c r="F601" t="inlineStr">
        <is>
          <t>KRONOBERGS LÄN</t>
        </is>
      </c>
      <c r="G601" t="inlineStr">
        <is>
          <t>LJUNGBY</t>
        </is>
      </c>
      <c r="I601" t="n">
        <v>2.2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50803-2024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45602</v>
      </c>
      <c r="E602" s="1" t="n">
        <v>46311</v>
      </c>
      <c r="F602" t="inlineStr">
        <is>
          <t>KRONOBERGS LÄN</t>
        </is>
      </c>
      <c r="G602" t="inlineStr">
        <is>
          <t>LJUNGBY</t>
        </is>
      </c>
      <c r="I602" t="n">
        <v>1.3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42931-2024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45567</v>
      </c>
      <c r="E603" s="1" t="n">
        <v>46311</v>
      </c>
      <c r="F603" t="inlineStr">
        <is>
          <t>KRONOBERGS LÄN</t>
        </is>
      </c>
      <c r="G603" t="inlineStr">
        <is>
          <t>LJUNGBY</t>
        </is>
      </c>
      <c r="I603" t="n">
        <v>1.3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34095-2025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45845</v>
      </c>
      <c r="E604" s="1" t="n">
        <v>46311</v>
      </c>
      <c r="F604" t="inlineStr">
        <is>
          <t>KRONOBERGS LÄN</t>
        </is>
      </c>
      <c r="G604" t="inlineStr">
        <is>
          <t>LJUNGBY</t>
        </is>
      </c>
      <c r="I604" t="n">
        <v>1.3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14796-2025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45742</v>
      </c>
      <c r="E605" s="1" t="n">
        <v>46311</v>
      </c>
      <c r="F605" t="inlineStr">
        <is>
          <t>KRONOBERGS LÄN</t>
        </is>
      </c>
      <c r="G605" t="inlineStr">
        <is>
          <t>LJUNGBY</t>
        </is>
      </c>
      <c r="I605" t="n">
        <v>0.8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4464-2025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45686</v>
      </c>
      <c r="E606" s="1" t="n">
        <v>46311</v>
      </c>
      <c r="F606" t="inlineStr">
        <is>
          <t>KRONOBERGS LÄN</t>
        </is>
      </c>
      <c r="G606" t="inlineStr">
        <is>
          <t>LJUNGBY</t>
        </is>
      </c>
      <c r="I606" t="n">
        <v>0.6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4027-2024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45323</v>
      </c>
      <c r="E607" s="1" t="n">
        <v>46311</v>
      </c>
      <c r="F607" t="inlineStr">
        <is>
          <t>KRONOBERGS LÄN</t>
        </is>
      </c>
      <c r="G607" t="inlineStr">
        <is>
          <t>LJUNGBY</t>
        </is>
      </c>
      <c r="H607" t="inlineStr">
        <is>
          <t>Kommuner</t>
        </is>
      </c>
      <c r="I607" t="n">
        <v>1.4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36365-2023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45152</v>
      </c>
      <c r="E608" s="1" t="n">
        <v>46311</v>
      </c>
      <c r="F608" t="inlineStr">
        <is>
          <t>KRONOBERGS LÄN</t>
        </is>
      </c>
      <c r="G608" t="inlineStr">
        <is>
          <t>LJUNGBY</t>
        </is>
      </c>
      <c r="I608" t="n">
        <v>0.3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7103-2025</t>
        </is>
      </c>
      <c r="B609" t="inlineStr">
        <is>
          <t>avverkningsanmälan</t>
        </is>
      </c>
      <c r="C609" t="inlineStr">
        <is>
          <t>Avverkning för att bevara och utveckla /försöksver</t>
        </is>
      </c>
      <c r="D609" s="1" t="n">
        <v>45701</v>
      </c>
      <c r="E609" s="1" t="n">
        <v>46311</v>
      </c>
      <c r="F609" t="inlineStr">
        <is>
          <t>KRONOBERGS LÄN</t>
        </is>
      </c>
      <c r="G609" t="inlineStr">
        <is>
          <t>LJUNGBY</t>
        </is>
      </c>
      <c r="I609" t="n">
        <v>1.6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6695-2025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45700</v>
      </c>
      <c r="E610" s="1" t="n">
        <v>46311</v>
      </c>
      <c r="F610" t="inlineStr">
        <is>
          <t>KRONOBERGS LÄN</t>
        </is>
      </c>
      <c r="G610" t="inlineStr">
        <is>
          <t>LJUNGBY</t>
        </is>
      </c>
      <c r="I610" t="n">
        <v>0.5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33499-2023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45131</v>
      </c>
      <c r="E611" s="1" t="n">
        <v>46311</v>
      </c>
      <c r="F611" t="inlineStr">
        <is>
          <t>KRONOBERGS LÄN</t>
        </is>
      </c>
      <c r="G611" t="inlineStr">
        <is>
          <t>LJUNGBY</t>
        </is>
      </c>
      <c r="I611" t="n">
        <v>1.3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10997-2022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44628</v>
      </c>
      <c r="E612" s="1" t="n">
        <v>46311</v>
      </c>
      <c r="F612" t="inlineStr">
        <is>
          <t>KRONOBERGS LÄN</t>
        </is>
      </c>
      <c r="G612" t="inlineStr">
        <is>
          <t>LJUNGBY</t>
        </is>
      </c>
      <c r="I612" t="n">
        <v>1.1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61138-2024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45645</v>
      </c>
      <c r="E613" s="1" t="n">
        <v>46311</v>
      </c>
      <c r="F613" t="inlineStr">
        <is>
          <t>KRONOBERGS LÄN</t>
        </is>
      </c>
      <c r="G613" t="inlineStr">
        <is>
          <t>LJUNGBY</t>
        </is>
      </c>
      <c r="I613" t="n">
        <v>1.2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28335-2025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45818</v>
      </c>
      <c r="E614" s="1" t="n">
        <v>46311</v>
      </c>
      <c r="F614" t="inlineStr">
        <is>
          <t>KRONOBERGS LÄN</t>
        </is>
      </c>
      <c r="G614" t="inlineStr">
        <is>
          <t>LJUNGBY</t>
        </is>
      </c>
      <c r="I614" t="n">
        <v>1.1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20576-2026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46140</v>
      </c>
      <c r="E615" s="1" t="n">
        <v>46311</v>
      </c>
      <c r="F615" t="inlineStr">
        <is>
          <t>KRONOBERGS LÄN</t>
        </is>
      </c>
      <c r="G615" t="inlineStr">
        <is>
          <t>LJUNGBY</t>
        </is>
      </c>
      <c r="I615" t="n">
        <v>1.5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28039-2024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45476</v>
      </c>
      <c r="E616" s="1" t="n">
        <v>46311</v>
      </c>
      <c r="F616" t="inlineStr">
        <is>
          <t>KRONOBERGS LÄN</t>
        </is>
      </c>
      <c r="G616" t="inlineStr">
        <is>
          <t>LJUNGBY</t>
        </is>
      </c>
      <c r="I616" t="n">
        <v>1.5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22383-2024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45446</v>
      </c>
      <c r="E617" s="1" t="n">
        <v>46311</v>
      </c>
      <c r="F617" t="inlineStr">
        <is>
          <t>KRONOBERGS LÄN</t>
        </is>
      </c>
      <c r="G617" t="inlineStr">
        <is>
          <t>LJUNGBY</t>
        </is>
      </c>
      <c r="I617" t="n">
        <v>1.5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60560-2024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45644</v>
      </c>
      <c r="E618" s="1" t="n">
        <v>46311</v>
      </c>
      <c r="F618" t="inlineStr">
        <is>
          <t>KRONOBERGS LÄN</t>
        </is>
      </c>
      <c r="G618" t="inlineStr">
        <is>
          <t>LJUNGBY</t>
        </is>
      </c>
      <c r="I618" t="n">
        <v>3.8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31845-2024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45509</v>
      </c>
      <c r="E619" s="1" t="n">
        <v>46311</v>
      </c>
      <c r="F619" t="inlineStr">
        <is>
          <t>KRONOBERGS LÄN</t>
        </is>
      </c>
      <c r="G619" t="inlineStr">
        <is>
          <t>LJUNGBY</t>
        </is>
      </c>
      <c r="H619" t="inlineStr">
        <is>
          <t>Sveaskog</t>
        </is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42615-2023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45181</v>
      </c>
      <c r="E620" s="1" t="n">
        <v>46311</v>
      </c>
      <c r="F620" t="inlineStr">
        <is>
          <t>KRONOBERGS LÄN</t>
        </is>
      </c>
      <c r="G620" t="inlineStr">
        <is>
          <t>LJUNGBY</t>
        </is>
      </c>
      <c r="I620" t="n">
        <v>0.8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12405-2023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44999</v>
      </c>
      <c r="E621" s="1" t="n">
        <v>46311</v>
      </c>
      <c r="F621" t="inlineStr">
        <is>
          <t>KRONOBERGS LÄN</t>
        </is>
      </c>
      <c r="G621" t="inlineStr">
        <is>
          <t>LJUNGBY</t>
        </is>
      </c>
      <c r="I621" t="n">
        <v>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46864-2022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44851</v>
      </c>
      <c r="E622" s="1" t="n">
        <v>46311</v>
      </c>
      <c r="F622" t="inlineStr">
        <is>
          <t>KRONOBERGS LÄN</t>
        </is>
      </c>
      <c r="G622" t="inlineStr">
        <is>
          <t>LJUNGBY</t>
        </is>
      </c>
      <c r="H622" t="inlineStr">
        <is>
          <t>Sveaskog</t>
        </is>
      </c>
      <c r="I622" t="n">
        <v>0.5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35903-2022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44802</v>
      </c>
      <c r="E623" s="1" t="n">
        <v>46311</v>
      </c>
      <c r="F623" t="inlineStr">
        <is>
          <t>KRONOBERGS LÄN</t>
        </is>
      </c>
      <c r="G623" t="inlineStr">
        <is>
          <t>LJUNGBY</t>
        </is>
      </c>
      <c r="I623" t="n">
        <v>2.1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45918-2023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45195</v>
      </c>
      <c r="E624" s="1" t="n">
        <v>46311</v>
      </c>
      <c r="F624" t="inlineStr">
        <is>
          <t>KRONOBERGS LÄN</t>
        </is>
      </c>
      <c r="G624" t="inlineStr">
        <is>
          <t>LJUNGBY</t>
        </is>
      </c>
      <c r="I624" t="n">
        <v>1.7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37374-2022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44809</v>
      </c>
      <c r="E625" s="1" t="n">
        <v>46311</v>
      </c>
      <c r="F625" t="inlineStr">
        <is>
          <t>KRONOBERGS LÄN</t>
        </is>
      </c>
      <c r="G625" t="inlineStr">
        <is>
          <t>LJUNGBY</t>
        </is>
      </c>
      <c r="I625" t="n">
        <v>3.9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61150-2024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45645</v>
      </c>
      <c r="E626" s="1" t="n">
        <v>46311</v>
      </c>
      <c r="F626" t="inlineStr">
        <is>
          <t>KRONOBERGS LÄN</t>
        </is>
      </c>
      <c r="G626" t="inlineStr">
        <is>
          <t>LJUNGBY</t>
        </is>
      </c>
      <c r="I626" t="n">
        <v>2.2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8080-2025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45707</v>
      </c>
      <c r="E627" s="1" t="n">
        <v>46311</v>
      </c>
      <c r="F627" t="inlineStr">
        <is>
          <t>KRONOBERGS LÄN</t>
        </is>
      </c>
      <c r="G627" t="inlineStr">
        <is>
          <t>LJUNGBY</t>
        </is>
      </c>
      <c r="I627" t="n">
        <v>1.3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27843-2022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44743</v>
      </c>
      <c r="E628" s="1" t="n">
        <v>46311</v>
      </c>
      <c r="F628" t="inlineStr">
        <is>
          <t>KRONOBERGS LÄN</t>
        </is>
      </c>
      <c r="G628" t="inlineStr">
        <is>
          <t>LJUNGBY</t>
        </is>
      </c>
      <c r="I628" t="n">
        <v>1.4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38736-2023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45163</v>
      </c>
      <c r="E629" s="1" t="n">
        <v>46311</v>
      </c>
      <c r="F629" t="inlineStr">
        <is>
          <t>KRONOBERGS LÄN</t>
        </is>
      </c>
      <c r="G629" t="inlineStr">
        <is>
          <t>LJUNGBY</t>
        </is>
      </c>
      <c r="I629" t="n">
        <v>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21724-2022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44706</v>
      </c>
      <c r="E630" s="1" t="n">
        <v>46311</v>
      </c>
      <c r="F630" t="inlineStr">
        <is>
          <t>KRONOBERGS LÄN</t>
        </is>
      </c>
      <c r="G630" t="inlineStr">
        <is>
          <t>LJUNGBY</t>
        </is>
      </c>
      <c r="I630" t="n">
        <v>2.1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43485-2025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45911</v>
      </c>
      <c r="E631" s="1" t="n">
        <v>46311</v>
      </c>
      <c r="F631" t="inlineStr">
        <is>
          <t>KRONOBERGS LÄN</t>
        </is>
      </c>
      <c r="G631" t="inlineStr">
        <is>
          <t>LJUNGBY</t>
        </is>
      </c>
      <c r="I631" t="n">
        <v>0.9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33105-2023</t>
        </is>
      </c>
      <c r="B632" t="inlineStr">
        <is>
          <t>avverkningsanmälan</t>
        </is>
      </c>
      <c r="C632" t="inlineStr">
        <is>
          <t>Avverkning för annat ändamål</t>
        </is>
      </c>
      <c r="D632" s="1" t="n">
        <v>45126</v>
      </c>
      <c r="E632" s="1" t="n">
        <v>46311</v>
      </c>
      <c r="F632" t="inlineStr">
        <is>
          <t>KRONOBERGS LÄN</t>
        </is>
      </c>
      <c r="G632" t="inlineStr">
        <is>
          <t>LJUNGBY</t>
        </is>
      </c>
      <c r="I632" t="n">
        <v>1.4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57467-2024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45630</v>
      </c>
      <c r="E633" s="1" t="n">
        <v>46311</v>
      </c>
      <c r="F633" t="inlineStr">
        <is>
          <t>KRONOBERGS LÄN</t>
        </is>
      </c>
      <c r="G633" t="inlineStr">
        <is>
          <t>LJUNGBY</t>
        </is>
      </c>
      <c r="I633" t="n">
        <v>0.9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43643-2025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45911</v>
      </c>
      <c r="E634" s="1" t="n">
        <v>46311</v>
      </c>
      <c r="F634" t="inlineStr">
        <is>
          <t>KRONOBERGS LÄN</t>
        </is>
      </c>
      <c r="G634" t="inlineStr">
        <is>
          <t>LJUNGBY</t>
        </is>
      </c>
      <c r="I634" t="n">
        <v>0.7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7405-2026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46059</v>
      </c>
      <c r="E635" s="1" t="n">
        <v>46311</v>
      </c>
      <c r="F635" t="inlineStr">
        <is>
          <t>KRONOBERGS LÄN</t>
        </is>
      </c>
      <c r="G635" t="inlineStr">
        <is>
          <t>LJUNGBY</t>
        </is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43844-2023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45187</v>
      </c>
      <c r="E636" s="1" t="n">
        <v>46311</v>
      </c>
      <c r="F636" t="inlineStr">
        <is>
          <t>KRONOBERGS LÄN</t>
        </is>
      </c>
      <c r="G636" t="inlineStr">
        <is>
          <t>LJUNGBY</t>
        </is>
      </c>
      <c r="I636" t="n">
        <v>1.9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12676-2025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45733</v>
      </c>
      <c r="E637" s="1" t="n">
        <v>46311</v>
      </c>
      <c r="F637" t="inlineStr">
        <is>
          <t>KRONOBERGS LÄN</t>
        </is>
      </c>
      <c r="G637" t="inlineStr">
        <is>
          <t>LJUNGBY</t>
        </is>
      </c>
      <c r="I637" t="n">
        <v>4.2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33926-2025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45842</v>
      </c>
      <c r="E638" s="1" t="n">
        <v>46311</v>
      </c>
      <c r="F638" t="inlineStr">
        <is>
          <t>KRONOBERGS LÄN</t>
        </is>
      </c>
      <c r="G638" t="inlineStr">
        <is>
          <t>LJUNGBY</t>
        </is>
      </c>
      <c r="I638" t="n">
        <v>1.6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29224-2022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44750</v>
      </c>
      <c r="E639" s="1" t="n">
        <v>46311</v>
      </c>
      <c r="F639" t="inlineStr">
        <is>
          <t>KRONOBERGS LÄN</t>
        </is>
      </c>
      <c r="G639" t="inlineStr">
        <is>
          <t>LJUNGBY</t>
        </is>
      </c>
      <c r="I639" t="n">
        <v>4.1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46181-2024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45581</v>
      </c>
      <c r="E640" s="1" t="n">
        <v>46311</v>
      </c>
      <c r="F640" t="inlineStr">
        <is>
          <t>KRONOBERGS LÄN</t>
        </is>
      </c>
      <c r="G640" t="inlineStr">
        <is>
          <t>LJUNGBY</t>
        </is>
      </c>
      <c r="I640" t="n">
        <v>2.3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52516-2023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45225</v>
      </c>
      <c r="E641" s="1" t="n">
        <v>46311</v>
      </c>
      <c r="F641" t="inlineStr">
        <is>
          <t>KRONOBERGS LÄN</t>
        </is>
      </c>
      <c r="G641" t="inlineStr">
        <is>
          <t>LJUNGBY</t>
        </is>
      </c>
      <c r="I641" t="n">
        <v>0.9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21108-2026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46146</v>
      </c>
      <c r="E642" s="1" t="n">
        <v>46311</v>
      </c>
      <c r="F642" t="inlineStr">
        <is>
          <t>KRONOBERGS LÄN</t>
        </is>
      </c>
      <c r="G642" t="inlineStr">
        <is>
          <t>LJUNGBY</t>
        </is>
      </c>
      <c r="I642" t="n">
        <v>1.3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33500-2023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45131</v>
      </c>
      <c r="E643" s="1" t="n">
        <v>46311</v>
      </c>
      <c r="F643" t="inlineStr">
        <is>
          <t>KRONOBERGS LÄN</t>
        </is>
      </c>
      <c r="G643" t="inlineStr">
        <is>
          <t>LJUNGBY</t>
        </is>
      </c>
      <c r="I643" t="n">
        <v>0.4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37320-2025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45876</v>
      </c>
      <c r="E644" s="1" t="n">
        <v>46311</v>
      </c>
      <c r="F644" t="inlineStr">
        <is>
          <t>KRONOBERGS LÄN</t>
        </is>
      </c>
      <c r="G644" t="inlineStr">
        <is>
          <t>LJUNGBY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47805-2023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45204</v>
      </c>
      <c r="E645" s="1" t="n">
        <v>46311</v>
      </c>
      <c r="F645" t="inlineStr">
        <is>
          <t>KRONOBERGS LÄN</t>
        </is>
      </c>
      <c r="G645" t="inlineStr">
        <is>
          <t>LJUNGBY</t>
        </is>
      </c>
      <c r="I645" t="n">
        <v>3.1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9288-2023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44980</v>
      </c>
      <c r="E646" s="1" t="n">
        <v>46311</v>
      </c>
      <c r="F646" t="inlineStr">
        <is>
          <t>KRONOBERGS LÄN</t>
        </is>
      </c>
      <c r="G646" t="inlineStr">
        <is>
          <t>LJUNGBY</t>
        </is>
      </c>
      <c r="I646" t="n">
        <v>0.6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48495-2023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45207</v>
      </c>
      <c r="E647" s="1" t="n">
        <v>46311</v>
      </c>
      <c r="F647" t="inlineStr">
        <is>
          <t>KRONOBERGS LÄN</t>
        </is>
      </c>
      <c r="G647" t="inlineStr">
        <is>
          <t>LJUNGBY</t>
        </is>
      </c>
      <c r="I647" t="n">
        <v>1.3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17146-2025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45756</v>
      </c>
      <c r="E648" s="1" t="n">
        <v>46311</v>
      </c>
      <c r="F648" t="inlineStr">
        <is>
          <t>KRONOBERGS LÄN</t>
        </is>
      </c>
      <c r="G648" t="inlineStr">
        <is>
          <t>LJUNGBY</t>
        </is>
      </c>
      <c r="I648" t="n">
        <v>0.6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52291-2023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45224</v>
      </c>
      <c r="E649" s="1" t="n">
        <v>46311</v>
      </c>
      <c r="F649" t="inlineStr">
        <is>
          <t>KRONOBERGS LÄN</t>
        </is>
      </c>
      <c r="G649" t="inlineStr">
        <is>
          <t>LJUNGBY</t>
        </is>
      </c>
      <c r="I649" t="n">
        <v>0.5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53865-2023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45231</v>
      </c>
      <c r="E650" s="1" t="n">
        <v>46311</v>
      </c>
      <c r="F650" t="inlineStr">
        <is>
          <t>KRONOBERGS LÄN</t>
        </is>
      </c>
      <c r="G650" t="inlineStr">
        <is>
          <t>LJUNGBY</t>
        </is>
      </c>
      <c r="I650" t="n">
        <v>6.6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44338-2025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45916</v>
      </c>
      <c r="E651" s="1" t="n">
        <v>46311</v>
      </c>
      <c r="F651" t="inlineStr">
        <is>
          <t>KRONOBERGS LÄN</t>
        </is>
      </c>
      <c r="G651" t="inlineStr">
        <is>
          <t>LJUNGBY</t>
        </is>
      </c>
      <c r="I651" t="n">
        <v>0.7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32045-2024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45510</v>
      </c>
      <c r="E652" s="1" t="n">
        <v>46311</v>
      </c>
      <c r="F652" t="inlineStr">
        <is>
          <t>KRONOBERGS LÄN</t>
        </is>
      </c>
      <c r="G652" t="inlineStr">
        <is>
          <t>LJUNGBY</t>
        </is>
      </c>
      <c r="I652" t="n">
        <v>0.9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61420-2023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45264</v>
      </c>
      <c r="E653" s="1" t="n">
        <v>46311</v>
      </c>
      <c r="F653" t="inlineStr">
        <is>
          <t>KRONOBERGS LÄN</t>
        </is>
      </c>
      <c r="G653" t="inlineStr">
        <is>
          <t>LJUNGBY</t>
        </is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21231-2026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46146</v>
      </c>
      <c r="E654" s="1" t="n">
        <v>46311</v>
      </c>
      <c r="F654" t="inlineStr">
        <is>
          <t>KRONOBERGS LÄN</t>
        </is>
      </c>
      <c r="G654" t="inlineStr">
        <is>
          <t>LJUNGBY</t>
        </is>
      </c>
      <c r="I654" t="n">
        <v>1.8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15774-2025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45748</v>
      </c>
      <c r="E655" s="1" t="n">
        <v>46311</v>
      </c>
      <c r="F655" t="inlineStr">
        <is>
          <t>KRONOBERGS LÄN</t>
        </is>
      </c>
      <c r="G655" t="inlineStr">
        <is>
          <t>LJUNGBY</t>
        </is>
      </c>
      <c r="I655" t="n">
        <v>1.4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21865-2026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46150</v>
      </c>
      <c r="E656" s="1" t="n">
        <v>46311</v>
      </c>
      <c r="F656" t="inlineStr">
        <is>
          <t>KRONOBERGS LÄN</t>
        </is>
      </c>
      <c r="G656" t="inlineStr">
        <is>
          <t>LJUNGBY</t>
        </is>
      </c>
      <c r="I656" t="n">
        <v>0.4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21870-2026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46150</v>
      </c>
      <c r="E657" s="1" t="n">
        <v>46311</v>
      </c>
      <c r="F657" t="inlineStr">
        <is>
          <t>KRONOBERGS LÄN</t>
        </is>
      </c>
      <c r="G657" t="inlineStr">
        <is>
          <t>LJUNGBY</t>
        </is>
      </c>
      <c r="I657" t="n">
        <v>0.6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40966-2022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44825</v>
      </c>
      <c r="E658" s="1" t="n">
        <v>46311</v>
      </c>
      <c r="F658" t="inlineStr">
        <is>
          <t>KRONOBERGS LÄN</t>
        </is>
      </c>
      <c r="G658" t="inlineStr">
        <is>
          <t>LJUNGBY</t>
        </is>
      </c>
      <c r="I658" t="n">
        <v>1.2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52363-2023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45224</v>
      </c>
      <c r="E659" s="1" t="n">
        <v>46311</v>
      </c>
      <c r="F659" t="inlineStr">
        <is>
          <t>KRONOBERGS LÄN</t>
        </is>
      </c>
      <c r="G659" t="inlineStr">
        <is>
          <t>LJUNGBY</t>
        </is>
      </c>
      <c r="I659" t="n">
        <v>0.3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61637-2024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45646</v>
      </c>
      <c r="E660" s="1" t="n">
        <v>46311</v>
      </c>
      <c r="F660" t="inlineStr">
        <is>
          <t>KRONOBERGS LÄN</t>
        </is>
      </c>
      <c r="G660" t="inlineStr">
        <is>
          <t>LJUNGBY</t>
        </is>
      </c>
      <c r="I660" t="n">
        <v>0.6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2960-2024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45315</v>
      </c>
      <c r="E661" s="1" t="n">
        <v>46311</v>
      </c>
      <c r="F661" t="inlineStr">
        <is>
          <t>KRONOBERGS LÄN</t>
        </is>
      </c>
      <c r="G661" t="inlineStr">
        <is>
          <t>LJUNGBY</t>
        </is>
      </c>
      <c r="I661" t="n">
        <v>0.8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17298-2023</t>
        </is>
      </c>
      <c r="B662" t="inlineStr">
        <is>
          <t>avverkningsanmälan</t>
        </is>
      </c>
      <c r="C662" t="inlineStr">
        <is>
          <t>Avverkning för annat ändamål</t>
        </is>
      </c>
      <c r="D662" s="1" t="n">
        <v>45035</v>
      </c>
      <c r="E662" s="1" t="n">
        <v>46311</v>
      </c>
      <c r="F662" t="inlineStr">
        <is>
          <t>KRONOBERGS LÄN</t>
        </is>
      </c>
      <c r="G662" t="inlineStr">
        <is>
          <t>LJUNGBY</t>
        </is>
      </c>
      <c r="I662" t="n">
        <v>4.8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7535-2025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45705</v>
      </c>
      <c r="E663" s="1" t="n">
        <v>46311</v>
      </c>
      <c r="F663" t="inlineStr">
        <is>
          <t>KRONOBERGS LÄN</t>
        </is>
      </c>
      <c r="G663" t="inlineStr">
        <is>
          <t>LJUNGBY</t>
        </is>
      </c>
      <c r="I663" t="n">
        <v>0.7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40092-2022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44820</v>
      </c>
      <c r="E664" s="1" t="n">
        <v>46311</v>
      </c>
      <c r="F664" t="inlineStr">
        <is>
          <t>KRONOBERGS LÄN</t>
        </is>
      </c>
      <c r="G664" t="inlineStr">
        <is>
          <t>LJUNGBY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56826-2024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45628</v>
      </c>
      <c r="E665" s="1" t="n">
        <v>46311</v>
      </c>
      <c r="F665" t="inlineStr">
        <is>
          <t>KRONOBERGS LÄN</t>
        </is>
      </c>
      <c r="G665" t="inlineStr">
        <is>
          <t>LJUNGBY</t>
        </is>
      </c>
      <c r="I665" t="n">
        <v>9.6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50030-2023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45215</v>
      </c>
      <c r="E666" s="1" t="n">
        <v>46311</v>
      </c>
      <c r="F666" t="inlineStr">
        <is>
          <t>KRONOBERGS LÄN</t>
        </is>
      </c>
      <c r="G666" t="inlineStr">
        <is>
          <t>LJUNGBY</t>
        </is>
      </c>
      <c r="I666" t="n">
        <v>0.4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43922-2025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45914</v>
      </c>
      <c r="E667" s="1" t="n">
        <v>46311</v>
      </c>
      <c r="F667" t="inlineStr">
        <is>
          <t>KRONOBERGS LÄN</t>
        </is>
      </c>
      <c r="G667" t="inlineStr">
        <is>
          <t>LJUNGBY</t>
        </is>
      </c>
      <c r="I667" t="n">
        <v>1.4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4761-2024</t>
        </is>
      </c>
      <c r="B668" t="inlineStr">
        <is>
          <t>avverkningsanmälan</t>
        </is>
      </c>
      <c r="C668" t="inlineStr">
        <is>
          <t>Avverkning för annat ändamål</t>
        </is>
      </c>
      <c r="D668" s="1" t="n">
        <v>45328</v>
      </c>
      <c r="E668" s="1" t="n">
        <v>46311</v>
      </c>
      <c r="F668" t="inlineStr">
        <is>
          <t>KRONOBERGS LÄN</t>
        </is>
      </c>
      <c r="G668" t="inlineStr">
        <is>
          <t>LJUNGBY</t>
        </is>
      </c>
      <c r="I668" t="n">
        <v>51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22666-2026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46155</v>
      </c>
      <c r="E669" s="1" t="n">
        <v>46311</v>
      </c>
      <c r="F669" t="inlineStr">
        <is>
          <t>KRONOBERGS LÄN</t>
        </is>
      </c>
      <c r="G669" t="inlineStr">
        <is>
          <t>LJUNGBY</t>
        </is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44513-2025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45916</v>
      </c>
      <c r="E670" s="1" t="n">
        <v>46311</v>
      </c>
      <c r="F670" t="inlineStr">
        <is>
          <t>KRONOBERGS LÄN</t>
        </is>
      </c>
      <c r="G670" t="inlineStr">
        <is>
          <t>LJUNGBY</t>
        </is>
      </c>
      <c r="I670" t="n">
        <v>0.5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22122-2022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44712</v>
      </c>
      <c r="E671" s="1" t="n">
        <v>46311</v>
      </c>
      <c r="F671" t="inlineStr">
        <is>
          <t>KRONOBERGS LÄN</t>
        </is>
      </c>
      <c r="G671" t="inlineStr">
        <is>
          <t>LJUNGBY</t>
        </is>
      </c>
      <c r="I671" t="n">
        <v>0.5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16910-2023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45033</v>
      </c>
      <c r="E672" s="1" t="n">
        <v>46311</v>
      </c>
      <c r="F672" t="inlineStr">
        <is>
          <t>KRONOBERGS LÄN</t>
        </is>
      </c>
      <c r="G672" t="inlineStr">
        <is>
          <t>LJUNGBY</t>
        </is>
      </c>
      <c r="I672" t="n">
        <v>5.6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52627-2023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45225</v>
      </c>
      <c r="E673" s="1" t="n">
        <v>46311</v>
      </c>
      <c r="F673" t="inlineStr">
        <is>
          <t>KRONOBERGS LÄN</t>
        </is>
      </c>
      <c r="G673" t="inlineStr">
        <is>
          <t>LJUNGBY</t>
        </is>
      </c>
      <c r="I673" t="n">
        <v>1.9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34169-2025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45845</v>
      </c>
      <c r="E674" s="1" t="n">
        <v>46311</v>
      </c>
      <c r="F674" t="inlineStr">
        <is>
          <t>KRONOBERGS LÄN</t>
        </is>
      </c>
      <c r="G674" t="inlineStr">
        <is>
          <t>LJUNGBY</t>
        </is>
      </c>
      <c r="I674" t="n">
        <v>2.6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36985-2025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45874</v>
      </c>
      <c r="E675" s="1" t="n">
        <v>46311</v>
      </c>
      <c r="F675" t="inlineStr">
        <is>
          <t>KRONOBERGS LÄN</t>
        </is>
      </c>
      <c r="G675" t="inlineStr">
        <is>
          <t>LJUNGBY</t>
        </is>
      </c>
      <c r="I675" t="n">
        <v>1.5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39833-2023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45168</v>
      </c>
      <c r="E676" s="1" t="n">
        <v>46311</v>
      </c>
      <c r="F676" t="inlineStr">
        <is>
          <t>KRONOBERGS LÄN</t>
        </is>
      </c>
      <c r="G676" t="inlineStr">
        <is>
          <t>LJUNGBY</t>
        </is>
      </c>
      <c r="I676" t="n">
        <v>1.7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9334-2025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45714</v>
      </c>
      <c r="E677" s="1" t="n">
        <v>46311</v>
      </c>
      <c r="F677" t="inlineStr">
        <is>
          <t>KRONOBERGS LÄN</t>
        </is>
      </c>
      <c r="G677" t="inlineStr">
        <is>
          <t>LJUNGBY</t>
        </is>
      </c>
      <c r="I677" t="n">
        <v>0.4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59857-2023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45257</v>
      </c>
      <c r="E678" s="1" t="n">
        <v>46311</v>
      </c>
      <c r="F678" t="inlineStr">
        <is>
          <t>KRONOBERGS LÄN</t>
        </is>
      </c>
      <c r="G678" t="inlineStr">
        <is>
          <t>LJUNGBY</t>
        </is>
      </c>
      <c r="I678" t="n">
        <v>1.1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44676-2025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45917</v>
      </c>
      <c r="E679" s="1" t="n">
        <v>46311</v>
      </c>
      <c r="F679" t="inlineStr">
        <is>
          <t>KRONOBERGS LÄN</t>
        </is>
      </c>
      <c r="G679" t="inlineStr">
        <is>
          <t>LJUNGBY</t>
        </is>
      </c>
      <c r="I679" t="n">
        <v>2.5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22665-2026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46155</v>
      </c>
      <c r="E680" s="1" t="n">
        <v>46311</v>
      </c>
      <c r="F680" t="inlineStr">
        <is>
          <t>KRONOBERGS LÄN</t>
        </is>
      </c>
      <c r="G680" t="inlineStr">
        <is>
          <t>LJUNGBY</t>
        </is>
      </c>
      <c r="I680" t="n">
        <v>0.8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14476-2023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45012</v>
      </c>
      <c r="E681" s="1" t="n">
        <v>46311</v>
      </c>
      <c r="F681" t="inlineStr">
        <is>
          <t>KRONOBERGS LÄN</t>
        </is>
      </c>
      <c r="G681" t="inlineStr">
        <is>
          <t>LJUNGBY</t>
        </is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10939-2023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44991</v>
      </c>
      <c r="E682" s="1" t="n">
        <v>46311</v>
      </c>
      <c r="F682" t="inlineStr">
        <is>
          <t>KRONOBERGS LÄN</t>
        </is>
      </c>
      <c r="G682" t="inlineStr">
        <is>
          <t>LJUNGBY</t>
        </is>
      </c>
      <c r="I682" t="n">
        <v>1.1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38544-2023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45162</v>
      </c>
      <c r="E683" s="1" t="n">
        <v>46311</v>
      </c>
      <c r="F683" t="inlineStr">
        <is>
          <t>KRONOBERGS LÄN</t>
        </is>
      </c>
      <c r="G683" t="inlineStr">
        <is>
          <t>LJUNGBY</t>
        </is>
      </c>
      <c r="I683" t="n">
        <v>1.1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7684-2026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46059</v>
      </c>
      <c r="E684" s="1" t="n">
        <v>46311</v>
      </c>
      <c r="F684" t="inlineStr">
        <is>
          <t>KRONOBERGS LÄN</t>
        </is>
      </c>
      <c r="G684" t="inlineStr">
        <is>
          <t>LJUNGBY</t>
        </is>
      </c>
      <c r="H684" t="inlineStr">
        <is>
          <t>Kyrkan</t>
        </is>
      </c>
      <c r="I684" t="n">
        <v>2.1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27012-2025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45811</v>
      </c>
      <c r="E685" s="1" t="n">
        <v>46311</v>
      </c>
      <c r="F685" t="inlineStr">
        <is>
          <t>KRONOBERGS LÄN</t>
        </is>
      </c>
      <c r="G685" t="inlineStr">
        <is>
          <t>LJUNGBY</t>
        </is>
      </c>
      <c r="I685" t="n">
        <v>3.5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22664-2026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46155</v>
      </c>
      <c r="E686" s="1" t="n">
        <v>46311</v>
      </c>
      <c r="F686" t="inlineStr">
        <is>
          <t>KRONOBERGS LÄN</t>
        </is>
      </c>
      <c r="G686" t="inlineStr">
        <is>
          <t>LJUNGBY</t>
        </is>
      </c>
      <c r="I686" t="n">
        <v>0.7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22663-2026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46155</v>
      </c>
      <c r="E687" s="1" t="n">
        <v>46311</v>
      </c>
      <c r="F687" t="inlineStr">
        <is>
          <t>KRONOBERGS LÄN</t>
        </is>
      </c>
      <c r="G687" t="inlineStr">
        <is>
          <t>LJUNGBY</t>
        </is>
      </c>
      <c r="I687" t="n">
        <v>3.6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10755-2023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44988</v>
      </c>
      <c r="E688" s="1" t="n">
        <v>46311</v>
      </c>
      <c r="F688" t="inlineStr">
        <is>
          <t>KRONOBERGS LÄN</t>
        </is>
      </c>
      <c r="G688" t="inlineStr">
        <is>
          <t>LJUNGBY</t>
        </is>
      </c>
      <c r="I688" t="n">
        <v>2.7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15974-2025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45749</v>
      </c>
      <c r="E689" s="1" t="n">
        <v>46311</v>
      </c>
      <c r="F689" t="inlineStr">
        <is>
          <t>KRONOBERGS LÄN</t>
        </is>
      </c>
      <c r="G689" t="inlineStr">
        <is>
          <t>LJUNGBY</t>
        </is>
      </c>
      <c r="I689" t="n">
        <v>0.9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44670-2025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45917</v>
      </c>
      <c r="E690" s="1" t="n">
        <v>46311</v>
      </c>
      <c r="F690" t="inlineStr">
        <is>
          <t>KRONOBERGS LÄN</t>
        </is>
      </c>
      <c r="G690" t="inlineStr">
        <is>
          <t>LJUNGBY</t>
        </is>
      </c>
      <c r="I690" t="n">
        <v>1.7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11137-2026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46079</v>
      </c>
      <c r="E691" s="1" t="n">
        <v>46311</v>
      </c>
      <c r="F691" t="inlineStr">
        <is>
          <t>KRONOBERGS LÄN</t>
        </is>
      </c>
      <c r="G691" t="inlineStr">
        <is>
          <t>LJUNGBY</t>
        </is>
      </c>
      <c r="I691" t="n">
        <v>4.1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22835-2026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46160</v>
      </c>
      <c r="E692" s="1" t="n">
        <v>46311</v>
      </c>
      <c r="F692" t="inlineStr">
        <is>
          <t>KRONOBERGS LÄN</t>
        </is>
      </c>
      <c r="G692" t="inlineStr">
        <is>
          <t>LJUNGBY</t>
        </is>
      </c>
      <c r="I692" t="n">
        <v>0.9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8835-2024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45356</v>
      </c>
      <c r="E693" s="1" t="n">
        <v>46311</v>
      </c>
      <c r="F693" t="inlineStr">
        <is>
          <t>KRONOBERGS LÄN</t>
        </is>
      </c>
      <c r="G693" t="inlineStr">
        <is>
          <t>LJUNGBY</t>
        </is>
      </c>
      <c r="I693" t="n">
        <v>0.8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51096-2023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45218</v>
      </c>
      <c r="E694" s="1" t="n">
        <v>46311</v>
      </c>
      <c r="F694" t="inlineStr">
        <is>
          <t>KRONOBERGS LÄN</t>
        </is>
      </c>
      <c r="G694" t="inlineStr">
        <is>
          <t>LJUNGBY</t>
        </is>
      </c>
      <c r="I694" t="n">
        <v>0.5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45919-2023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45195</v>
      </c>
      <c r="E695" s="1" t="n">
        <v>46311</v>
      </c>
      <c r="F695" t="inlineStr">
        <is>
          <t>KRONOBERGS LÄN</t>
        </is>
      </c>
      <c r="G695" t="inlineStr">
        <is>
          <t>LJUNGBY</t>
        </is>
      </c>
      <c r="I695" t="n">
        <v>1.1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59688-2022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44908</v>
      </c>
      <c r="E696" s="1" t="n">
        <v>46311</v>
      </c>
      <c r="F696" t="inlineStr">
        <is>
          <t>KRONOBERGS LÄN</t>
        </is>
      </c>
      <c r="G696" t="inlineStr">
        <is>
          <t>LJUNGBY</t>
        </is>
      </c>
      <c r="H696" t="inlineStr">
        <is>
          <t>Sveaskog</t>
        </is>
      </c>
      <c r="I696" t="n">
        <v>1.9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48414-2022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44858</v>
      </c>
      <c r="E697" s="1" t="n">
        <v>46311</v>
      </c>
      <c r="F697" t="inlineStr">
        <is>
          <t>KRONOBERGS LÄN</t>
        </is>
      </c>
      <c r="G697" t="inlineStr">
        <is>
          <t>LJUNGBY</t>
        </is>
      </c>
      <c r="I697" t="n">
        <v>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45913-2025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45923</v>
      </c>
      <c r="E698" s="1" t="n">
        <v>46311</v>
      </c>
      <c r="F698" t="inlineStr">
        <is>
          <t>KRONOBERGS LÄN</t>
        </is>
      </c>
      <c r="G698" t="inlineStr">
        <is>
          <t>LJUNGBY</t>
        </is>
      </c>
      <c r="I698" t="n">
        <v>0.4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45915-2025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45923</v>
      </c>
      <c r="E699" s="1" t="n">
        <v>46311</v>
      </c>
      <c r="F699" t="inlineStr">
        <is>
          <t>KRONOBERGS LÄN</t>
        </is>
      </c>
      <c r="G699" t="inlineStr">
        <is>
          <t>LJUNGBY</t>
        </is>
      </c>
      <c r="I699" t="n">
        <v>0.5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45928-2025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45923</v>
      </c>
      <c r="E700" s="1" t="n">
        <v>46311</v>
      </c>
      <c r="F700" t="inlineStr">
        <is>
          <t>KRONOBERGS LÄN</t>
        </is>
      </c>
      <c r="G700" t="inlineStr">
        <is>
          <t>LJUNGBY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23201-2026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46161</v>
      </c>
      <c r="E701" s="1" t="n">
        <v>46311</v>
      </c>
      <c r="F701" t="inlineStr">
        <is>
          <t>KRONOBERGS LÄN</t>
        </is>
      </c>
      <c r="G701" t="inlineStr">
        <is>
          <t>LJUNGBY</t>
        </is>
      </c>
      <c r="I701" t="n">
        <v>0.9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47243-2022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44852</v>
      </c>
      <c r="E702" s="1" t="n">
        <v>46311</v>
      </c>
      <c r="F702" t="inlineStr">
        <is>
          <t>KRONOBERGS LÄN</t>
        </is>
      </c>
      <c r="G702" t="inlineStr">
        <is>
          <t>LJUNGBY</t>
        </is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64354-2023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45280</v>
      </c>
      <c r="E703" s="1" t="n">
        <v>46311</v>
      </c>
      <c r="F703" t="inlineStr">
        <is>
          <t>KRONOBERGS LÄN</t>
        </is>
      </c>
      <c r="G703" t="inlineStr">
        <is>
          <t>LJUNGBY</t>
        </is>
      </c>
      <c r="I703" t="n">
        <v>1.7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64052-2023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45279</v>
      </c>
      <c r="E704" s="1" t="n">
        <v>46311</v>
      </c>
      <c r="F704" t="inlineStr">
        <is>
          <t>KRONOBERGS LÄN</t>
        </is>
      </c>
      <c r="G704" t="inlineStr">
        <is>
          <t>LJUNGBY</t>
        </is>
      </c>
      <c r="I704" t="n">
        <v>0.8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61422-2023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45264</v>
      </c>
      <c r="E705" s="1" t="n">
        <v>46311</v>
      </c>
      <c r="F705" t="inlineStr">
        <is>
          <t>KRONOBERGS LÄN</t>
        </is>
      </c>
      <c r="G705" t="inlineStr">
        <is>
          <t>LJUNGBY</t>
        </is>
      </c>
      <c r="I705" t="n">
        <v>0.5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28322-2023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45099</v>
      </c>
      <c r="E706" s="1" t="n">
        <v>46311</v>
      </c>
      <c r="F706" t="inlineStr">
        <is>
          <t>KRONOBERGS LÄN</t>
        </is>
      </c>
      <c r="G706" t="inlineStr">
        <is>
          <t>LJUNGBY</t>
        </is>
      </c>
      <c r="I706" t="n">
        <v>5.3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46500-2025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45925</v>
      </c>
      <c r="E707" s="1" t="n">
        <v>46311</v>
      </c>
      <c r="F707" t="inlineStr">
        <is>
          <t>KRONOBERGS LÄN</t>
        </is>
      </c>
      <c r="G707" t="inlineStr">
        <is>
          <t>LJUNGBY</t>
        </is>
      </c>
      <c r="I707" t="n">
        <v>1.4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46502-2025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45925</v>
      </c>
      <c r="E708" s="1" t="n">
        <v>46311</v>
      </c>
      <c r="F708" t="inlineStr">
        <is>
          <t>KRONOBERGS LÄN</t>
        </is>
      </c>
      <c r="G708" t="inlineStr">
        <is>
          <t>LJUNGBY</t>
        </is>
      </c>
      <c r="I708" t="n">
        <v>0.5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46509-2025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45925</v>
      </c>
      <c r="E709" s="1" t="n">
        <v>46311</v>
      </c>
      <c r="F709" t="inlineStr">
        <is>
          <t>KRONOBERGS LÄN</t>
        </is>
      </c>
      <c r="G709" t="inlineStr">
        <is>
          <t>LJUNGBY</t>
        </is>
      </c>
      <c r="I709" t="n">
        <v>4.1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46229-2025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45924</v>
      </c>
      <c r="E710" s="1" t="n">
        <v>46311</v>
      </c>
      <c r="F710" t="inlineStr">
        <is>
          <t>KRONOBERGS LÄN</t>
        </is>
      </c>
      <c r="G710" t="inlineStr">
        <is>
          <t>LJUNGBY</t>
        </is>
      </c>
      <c r="I710" t="n">
        <v>3.9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46499-2025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45925</v>
      </c>
      <c r="E711" s="1" t="n">
        <v>46311</v>
      </c>
      <c r="F711" t="inlineStr">
        <is>
          <t>KRONOBERGS LÄN</t>
        </is>
      </c>
      <c r="G711" t="inlineStr">
        <is>
          <t>LJUNGBY</t>
        </is>
      </c>
      <c r="I711" t="n">
        <v>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46501-2025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45925</v>
      </c>
      <c r="E712" s="1" t="n">
        <v>46311</v>
      </c>
      <c r="F712" t="inlineStr">
        <is>
          <t>KRONOBERGS LÄN</t>
        </is>
      </c>
      <c r="G712" t="inlineStr">
        <is>
          <t>LJUNGBY</t>
        </is>
      </c>
      <c r="I712" t="n">
        <v>1.1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52618-2023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45225</v>
      </c>
      <c r="E713" s="1" t="n">
        <v>46311</v>
      </c>
      <c r="F713" t="inlineStr">
        <is>
          <t>KRONOBERGS LÄN</t>
        </is>
      </c>
      <c r="G713" t="inlineStr">
        <is>
          <t>LJUNGBY</t>
        </is>
      </c>
      <c r="I713" t="n">
        <v>2.7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24473-2026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46170</v>
      </c>
      <c r="E714" s="1" t="n">
        <v>46311</v>
      </c>
      <c r="F714" t="inlineStr">
        <is>
          <t>KRONOBERGS LÄN</t>
        </is>
      </c>
      <c r="G714" t="inlineStr">
        <is>
          <t>LJUNGBY</t>
        </is>
      </c>
      <c r="I714" t="n">
        <v>2.6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15072-2026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46104</v>
      </c>
      <c r="E715" s="1" t="n">
        <v>46311</v>
      </c>
      <c r="F715" t="inlineStr">
        <is>
          <t>KRONOBERGS LÄN</t>
        </is>
      </c>
      <c r="G715" t="inlineStr">
        <is>
          <t>LJUNGBY</t>
        </is>
      </c>
      <c r="I715" t="n">
        <v>0.5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24458-2026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46170</v>
      </c>
      <c r="E716" s="1" t="n">
        <v>46311</v>
      </c>
      <c r="F716" t="inlineStr">
        <is>
          <t>KRONOBERGS LÄN</t>
        </is>
      </c>
      <c r="G716" t="inlineStr">
        <is>
          <t>LJUNGBY</t>
        </is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24459-2026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46170</v>
      </c>
      <c r="E717" s="1" t="n">
        <v>46311</v>
      </c>
      <c r="F717" t="inlineStr">
        <is>
          <t>KRONOBERGS LÄN</t>
        </is>
      </c>
      <c r="G717" t="inlineStr">
        <is>
          <t>LJUNGBY</t>
        </is>
      </c>
      <c r="I717" t="n">
        <v>0.4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51495-2024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45604</v>
      </c>
      <c r="E718" s="1" t="n">
        <v>46311</v>
      </c>
      <c r="F718" t="inlineStr">
        <is>
          <t>KRONOBERGS LÄN</t>
        </is>
      </c>
      <c r="G718" t="inlineStr">
        <is>
          <t>LJUNGBY</t>
        </is>
      </c>
      <c r="I718" t="n">
        <v>1.3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24639-2026</t>
        </is>
      </c>
      <c r="B719" t="inlineStr">
        <is>
          <t>avverkningsanmälan</t>
        </is>
      </c>
      <c r="C719" t="inlineStr">
        <is>
          <t>Avverkning för annat ändamål</t>
        </is>
      </c>
      <c r="D719" s="1" t="n">
        <v>46171</v>
      </c>
      <c r="E719" s="1" t="n">
        <v>46311</v>
      </c>
      <c r="F719" t="inlineStr">
        <is>
          <t>KRONOBERGS LÄN</t>
        </is>
      </c>
      <c r="G719" t="inlineStr">
        <is>
          <t>LJUNGBY</t>
        </is>
      </c>
      <c r="I719" t="n">
        <v>2.8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13132-2025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45734</v>
      </c>
      <c r="E720" s="1" t="n">
        <v>46311</v>
      </c>
      <c r="F720" t="inlineStr">
        <is>
          <t>KRONOBERGS LÄN</t>
        </is>
      </c>
      <c r="G720" t="inlineStr">
        <is>
          <t>LJUNGBY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20608-2025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45775</v>
      </c>
      <c r="E721" s="1" t="n">
        <v>46311</v>
      </c>
      <c r="F721" t="inlineStr">
        <is>
          <t>KRONOBERGS LÄN</t>
        </is>
      </c>
      <c r="G721" t="inlineStr">
        <is>
          <t>LJUNGBY</t>
        </is>
      </c>
      <c r="I721" t="n">
        <v>1.9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14230-2022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44651</v>
      </c>
      <c r="E722" s="1" t="n">
        <v>46311</v>
      </c>
      <c r="F722" t="inlineStr">
        <is>
          <t>KRONOBERGS LÄN</t>
        </is>
      </c>
      <c r="G722" t="inlineStr">
        <is>
          <t>LJUNGBY</t>
        </is>
      </c>
      <c r="I722" t="n">
        <v>2.6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25041-2026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46174</v>
      </c>
      <c r="E723" s="1" t="n">
        <v>46311</v>
      </c>
      <c r="F723" t="inlineStr">
        <is>
          <t>KRONOBERGS LÄN</t>
        </is>
      </c>
      <c r="G723" t="inlineStr">
        <is>
          <t>LJUNGBY</t>
        </is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25048-2026</t>
        </is>
      </c>
      <c r="B724" t="inlineStr">
        <is>
          <t>avverkningsanmälan</t>
        </is>
      </c>
      <c r="C724" t="inlineStr">
        <is>
          <t>Avverkning för annat ändamål</t>
        </is>
      </c>
      <c r="D724" s="1" t="n">
        <v>46174</v>
      </c>
      <c r="E724" s="1" t="n">
        <v>46311</v>
      </c>
      <c r="F724" t="inlineStr">
        <is>
          <t>KRONOBERGS LÄN</t>
        </is>
      </c>
      <c r="G724" t="inlineStr">
        <is>
          <t>LJUNGBY</t>
        </is>
      </c>
      <c r="I724" t="n">
        <v>2.2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25295-2026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46176</v>
      </c>
      <c r="E725" s="1" t="n">
        <v>46311</v>
      </c>
      <c r="F725" t="inlineStr">
        <is>
          <t>KRONOBERGS LÄN</t>
        </is>
      </c>
      <c r="G725" t="inlineStr">
        <is>
          <t>LJUNGBY</t>
        </is>
      </c>
      <c r="I725" t="n">
        <v>0.6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25356-2026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46176</v>
      </c>
      <c r="E726" s="1" t="n">
        <v>46311</v>
      </c>
      <c r="F726" t="inlineStr">
        <is>
          <t>KRONOBERGS LÄN</t>
        </is>
      </c>
      <c r="G726" t="inlineStr">
        <is>
          <t>LJUNGBY</t>
        </is>
      </c>
      <c r="I726" t="n">
        <v>2.8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9825-2022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44620</v>
      </c>
      <c r="E727" s="1" t="n">
        <v>46311</v>
      </c>
      <c r="F727" t="inlineStr">
        <is>
          <t>KRONOBERGS LÄN</t>
        </is>
      </c>
      <c r="G727" t="inlineStr">
        <is>
          <t>LJUNGBY</t>
        </is>
      </c>
      <c r="I727" t="n">
        <v>1.9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56385-2022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44887</v>
      </c>
      <c r="E728" s="1" t="n">
        <v>46311</v>
      </c>
      <c r="F728" t="inlineStr">
        <is>
          <t>KRONOBERGS LÄN</t>
        </is>
      </c>
      <c r="G728" t="inlineStr">
        <is>
          <t>LJUNGBY</t>
        </is>
      </c>
      <c r="I728" t="n">
        <v>0.8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1720-2023</t>
        </is>
      </c>
      <c r="B729" t="inlineStr">
        <is>
          <t>avverkningsanmälan</t>
        </is>
      </c>
      <c r="C729" t="inlineStr">
        <is>
          <t>Avverkning för annat ändamål</t>
        </is>
      </c>
      <c r="D729" s="1" t="n">
        <v>44938</v>
      </c>
      <c r="E729" s="1" t="n">
        <v>46311</v>
      </c>
      <c r="F729" t="inlineStr">
        <is>
          <t>KRONOBERGS LÄN</t>
        </is>
      </c>
      <c r="G729" t="inlineStr">
        <is>
          <t>LJUNGBY</t>
        </is>
      </c>
      <c r="I729" t="n">
        <v>0.9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8225-2023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44974</v>
      </c>
      <c r="E730" s="1" t="n">
        <v>46311</v>
      </c>
      <c r="F730" t="inlineStr">
        <is>
          <t>KRONOBERGS LÄN</t>
        </is>
      </c>
      <c r="G730" t="inlineStr">
        <is>
          <t>LJUNGBY</t>
        </is>
      </c>
      <c r="I730" t="n">
        <v>0.5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5363-2023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44959</v>
      </c>
      <c r="E731" s="1" t="n">
        <v>46311</v>
      </c>
      <c r="F731" t="inlineStr">
        <is>
          <t>KRONOBERGS LÄN</t>
        </is>
      </c>
      <c r="G731" t="inlineStr">
        <is>
          <t>LJUNGBY</t>
        </is>
      </c>
      <c r="H731" t="inlineStr">
        <is>
          <t>Sveaskog</t>
        </is>
      </c>
      <c r="I731" t="n">
        <v>3.1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5401-2023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44959</v>
      </c>
      <c r="E732" s="1" t="n">
        <v>46311</v>
      </c>
      <c r="F732" t="inlineStr">
        <is>
          <t>KRONOBERGS LÄN</t>
        </is>
      </c>
      <c r="G732" t="inlineStr">
        <is>
          <t>LJUNGBY</t>
        </is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5405-2023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44959</v>
      </c>
      <c r="E733" s="1" t="n">
        <v>46311</v>
      </c>
      <c r="F733" t="inlineStr">
        <is>
          <t>KRONOBERGS LÄN</t>
        </is>
      </c>
      <c r="G733" t="inlineStr">
        <is>
          <t>LJUNGBY</t>
        </is>
      </c>
      <c r="I733" t="n">
        <v>0.5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38407-2022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44812</v>
      </c>
      <c r="E734" s="1" t="n">
        <v>46311</v>
      </c>
      <c r="F734" t="inlineStr">
        <is>
          <t>KRONOBERGS LÄN</t>
        </is>
      </c>
      <c r="G734" t="inlineStr">
        <is>
          <t>LJUNGBY</t>
        </is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37648-2022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44810</v>
      </c>
      <c r="E735" s="1" t="n">
        <v>46311</v>
      </c>
      <c r="F735" t="inlineStr">
        <is>
          <t>KRONOBERGS LÄN</t>
        </is>
      </c>
      <c r="G735" t="inlineStr">
        <is>
          <t>LJUNGBY</t>
        </is>
      </c>
      <c r="I735" t="n">
        <v>1.3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13039-2025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45734</v>
      </c>
      <c r="E736" s="1" t="n">
        <v>46311</v>
      </c>
      <c r="F736" t="inlineStr">
        <is>
          <t>KRONOBERGS LÄN</t>
        </is>
      </c>
      <c r="G736" t="inlineStr">
        <is>
          <t>LJUNGBY</t>
        </is>
      </c>
      <c r="I736" t="n">
        <v>1.3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26228-2026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46182</v>
      </c>
      <c r="E737" s="1" t="n">
        <v>46311</v>
      </c>
      <c r="F737" t="inlineStr">
        <is>
          <t>KRONOBERGS LÄN</t>
        </is>
      </c>
      <c r="G737" t="inlineStr">
        <is>
          <t>LJUNGBY</t>
        </is>
      </c>
      <c r="I737" t="n">
        <v>0.6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44287-2023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45188</v>
      </c>
      <c r="E738" s="1" t="n">
        <v>46311</v>
      </c>
      <c r="F738" t="inlineStr">
        <is>
          <t>KRONOBERGS LÄN</t>
        </is>
      </c>
      <c r="G738" t="inlineStr">
        <is>
          <t>LJUNGBY</t>
        </is>
      </c>
      <c r="I738" t="n">
        <v>3.3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26195-2026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46182</v>
      </c>
      <c r="E739" s="1" t="n">
        <v>46311</v>
      </c>
      <c r="F739" t="inlineStr">
        <is>
          <t>KRONOBERGS LÄN</t>
        </is>
      </c>
      <c r="G739" t="inlineStr">
        <is>
          <t>LJUNGBY</t>
        </is>
      </c>
      <c r="I739" t="n">
        <v>2.1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38611-2023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45162</v>
      </c>
      <c r="E740" s="1" t="n">
        <v>46311</v>
      </c>
      <c r="F740" t="inlineStr">
        <is>
          <t>KRONOBERGS LÄN</t>
        </is>
      </c>
      <c r="G740" t="inlineStr">
        <is>
          <t>LJUNGBY</t>
        </is>
      </c>
      <c r="H740" t="inlineStr">
        <is>
          <t>Sveaskog</t>
        </is>
      </c>
      <c r="I740" t="n">
        <v>0.8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62537-2022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44924</v>
      </c>
      <c r="E741" s="1" t="n">
        <v>46311</v>
      </c>
      <c r="F741" t="inlineStr">
        <is>
          <t>KRONOBERGS LÄN</t>
        </is>
      </c>
      <c r="G741" t="inlineStr">
        <is>
          <t>LJUNGBY</t>
        </is>
      </c>
      <c r="I741" t="n">
        <v>0.7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49339-2025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45938</v>
      </c>
      <c r="E742" s="1" t="n">
        <v>46311</v>
      </c>
      <c r="F742" t="inlineStr">
        <is>
          <t>KRONOBERGS LÄN</t>
        </is>
      </c>
      <c r="G742" t="inlineStr">
        <is>
          <t>LJUNGBY</t>
        </is>
      </c>
      <c r="I742" t="n">
        <v>3.4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26665-2026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46184</v>
      </c>
      <c r="E743" s="1" t="n">
        <v>46311</v>
      </c>
      <c r="F743" t="inlineStr">
        <is>
          <t>KRONOBERGS LÄN</t>
        </is>
      </c>
      <c r="G743" t="inlineStr">
        <is>
          <t>LJUNGBY</t>
        </is>
      </c>
      <c r="I743" t="n">
        <v>0.9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26723-2026</t>
        </is>
      </c>
      <c r="B744" t="inlineStr">
        <is>
          <t>avverkningsanmälan</t>
        </is>
      </c>
      <c r="C744" t="inlineStr">
        <is>
          <t>Avverkning för annat ändamål</t>
        </is>
      </c>
      <c r="D744" s="1" t="n">
        <v>46184</v>
      </c>
      <c r="E744" s="1" t="n">
        <v>46311</v>
      </c>
      <c r="F744" t="inlineStr">
        <is>
          <t>KRONOBERGS LÄN</t>
        </is>
      </c>
      <c r="G744" t="inlineStr">
        <is>
          <t>LJUNGBY</t>
        </is>
      </c>
      <c r="I744" t="n">
        <v>0.9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14943-2022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44657</v>
      </c>
      <c r="E745" s="1" t="n">
        <v>46311</v>
      </c>
      <c r="F745" t="inlineStr">
        <is>
          <t>KRONOBERGS LÄN</t>
        </is>
      </c>
      <c r="G745" t="inlineStr">
        <is>
          <t>LJUNGBY</t>
        </is>
      </c>
      <c r="I745" t="n">
        <v>0.6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50950-2023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45218</v>
      </c>
      <c r="E746" s="1" t="n">
        <v>46311</v>
      </c>
      <c r="F746" t="inlineStr">
        <is>
          <t>KRONOBERGS LÄN</t>
        </is>
      </c>
      <c r="G746" t="inlineStr">
        <is>
          <t>LJUNGBY</t>
        </is>
      </c>
      <c r="I746" t="n">
        <v>1.4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60600-2023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45260</v>
      </c>
      <c r="E747" s="1" t="n">
        <v>46311</v>
      </c>
      <c r="F747" t="inlineStr">
        <is>
          <t>KRONOBERGS LÄN</t>
        </is>
      </c>
      <c r="G747" t="inlineStr">
        <is>
          <t>LJUNGBY</t>
        </is>
      </c>
      <c r="I747" t="n">
        <v>0.8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37164-2022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44806</v>
      </c>
      <c r="E748" s="1" t="n">
        <v>46311</v>
      </c>
      <c r="F748" t="inlineStr">
        <is>
          <t>KRONOBERGS LÄN</t>
        </is>
      </c>
      <c r="G748" t="inlineStr">
        <is>
          <t>LJUNGBY</t>
        </is>
      </c>
      <c r="I748" t="n">
        <v>1.1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27540-2022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44742</v>
      </c>
      <c r="E749" s="1" t="n">
        <v>46311</v>
      </c>
      <c r="F749" t="inlineStr">
        <is>
          <t>KRONOBERGS LÄN</t>
        </is>
      </c>
      <c r="G749" t="inlineStr">
        <is>
          <t>LJUNGBY</t>
        </is>
      </c>
      <c r="I749" t="n">
        <v>1.2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8834-2024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45356</v>
      </c>
      <c r="E750" s="1" t="n">
        <v>46311</v>
      </c>
      <c r="F750" t="inlineStr">
        <is>
          <t>KRONOBERGS LÄN</t>
        </is>
      </c>
      <c r="G750" t="inlineStr">
        <is>
          <t>LJUNGBY</t>
        </is>
      </c>
      <c r="I750" t="n">
        <v>1.1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58010-2021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44487</v>
      </c>
      <c r="E751" s="1" t="n">
        <v>46311</v>
      </c>
      <c r="F751" t="inlineStr">
        <is>
          <t>KRONOBERGS LÄN</t>
        </is>
      </c>
      <c r="G751" t="inlineStr">
        <is>
          <t>LJUNGBY</t>
        </is>
      </c>
      <c r="I751" t="n">
        <v>3.1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42209-2024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45562</v>
      </c>
      <c r="E752" s="1" t="n">
        <v>46311</v>
      </c>
      <c r="F752" t="inlineStr">
        <is>
          <t>KRONOBERGS LÄN</t>
        </is>
      </c>
      <c r="G752" t="inlineStr">
        <is>
          <t>LJUNGBY</t>
        </is>
      </c>
      <c r="H752" t="inlineStr">
        <is>
          <t>Sveaskog</t>
        </is>
      </c>
      <c r="I752" t="n">
        <v>6.8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49832-2025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45940</v>
      </c>
      <c r="E753" s="1" t="n">
        <v>46311</v>
      </c>
      <c r="F753" t="inlineStr">
        <is>
          <t>KRONOBERGS LÄN</t>
        </is>
      </c>
      <c r="G753" t="inlineStr">
        <is>
          <t>LJUNGBY</t>
        </is>
      </c>
      <c r="I753" t="n">
        <v>3.1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38641-2024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45546</v>
      </c>
      <c r="E754" s="1" t="n">
        <v>46311</v>
      </c>
      <c r="F754" t="inlineStr">
        <is>
          <t>KRONOBERGS LÄN</t>
        </is>
      </c>
      <c r="G754" t="inlineStr">
        <is>
          <t>LJUNGBY</t>
        </is>
      </c>
      <c r="H754" t="inlineStr">
        <is>
          <t>Sveaskog</t>
        </is>
      </c>
      <c r="I754" t="n">
        <v>1.8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27837-2026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46191</v>
      </c>
      <c r="E755" s="1" t="n">
        <v>46311</v>
      </c>
      <c r="F755" t="inlineStr">
        <is>
          <t>KRONOBERGS LÄN</t>
        </is>
      </c>
      <c r="G755" t="inlineStr">
        <is>
          <t>LJUNGBY</t>
        </is>
      </c>
      <c r="I755" t="n">
        <v>0.6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51463-2024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45604</v>
      </c>
      <c r="E756" s="1" t="n">
        <v>46311</v>
      </c>
      <c r="F756" t="inlineStr">
        <is>
          <t>KRONOBERGS LÄN</t>
        </is>
      </c>
      <c r="G756" t="inlineStr">
        <is>
          <t>LJUNGBY</t>
        </is>
      </c>
      <c r="I756" t="n">
        <v>0.8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48682-2024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45593</v>
      </c>
      <c r="E757" s="1" t="n">
        <v>46311</v>
      </c>
      <c r="F757" t="inlineStr">
        <is>
          <t>KRONOBERGS LÄN</t>
        </is>
      </c>
      <c r="G757" t="inlineStr">
        <is>
          <t>LJUNGBY</t>
        </is>
      </c>
      <c r="H757" t="inlineStr">
        <is>
          <t>Sveaskog</t>
        </is>
      </c>
      <c r="I757" t="n">
        <v>0.5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28060-2026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46195</v>
      </c>
      <c r="E758" s="1" t="n">
        <v>46311</v>
      </c>
      <c r="F758" t="inlineStr">
        <is>
          <t>KRONOBERGS LÄN</t>
        </is>
      </c>
      <c r="G758" t="inlineStr">
        <is>
          <t>LJUNGBY</t>
        </is>
      </c>
      <c r="I758" t="n">
        <v>0.4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33497-2023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45131</v>
      </c>
      <c r="E759" s="1" t="n">
        <v>46311</v>
      </c>
      <c r="F759" t="inlineStr">
        <is>
          <t>KRONOBERGS LÄN</t>
        </is>
      </c>
      <c r="G759" t="inlineStr">
        <is>
          <t>LJUNGBY</t>
        </is>
      </c>
      <c r="I759" t="n">
        <v>2.9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52859-2023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45226</v>
      </c>
      <c r="E760" s="1" t="n">
        <v>46311</v>
      </c>
      <c r="F760" t="inlineStr">
        <is>
          <t>KRONOBERGS LÄN</t>
        </is>
      </c>
      <c r="G760" t="inlineStr">
        <is>
          <t>LJUNGBY</t>
        </is>
      </c>
      <c r="I760" t="n">
        <v>0.3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43320-2024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45568</v>
      </c>
      <c r="E761" s="1" t="n">
        <v>46311</v>
      </c>
      <c r="F761" t="inlineStr">
        <is>
          <t>KRONOBERGS LÄN</t>
        </is>
      </c>
      <c r="G761" t="inlineStr">
        <is>
          <t>LJUNGBY</t>
        </is>
      </c>
      <c r="I761" t="n">
        <v>1.2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28559-2026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46197</v>
      </c>
      <c r="E762" s="1" t="n">
        <v>46311</v>
      </c>
      <c r="F762" t="inlineStr">
        <is>
          <t>KRONOBERGS LÄN</t>
        </is>
      </c>
      <c r="G762" t="inlineStr">
        <is>
          <t>LJUNGBY</t>
        </is>
      </c>
      <c r="I762" t="n">
        <v>4.3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27630-2023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45097</v>
      </c>
      <c r="E763" s="1" t="n">
        <v>46311</v>
      </c>
      <c r="F763" t="inlineStr">
        <is>
          <t>KRONOBERGS LÄN</t>
        </is>
      </c>
      <c r="G763" t="inlineStr">
        <is>
          <t>LJUNGBY</t>
        </is>
      </c>
      <c r="I763" t="n">
        <v>1.8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27533-2023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45097</v>
      </c>
      <c r="E764" s="1" t="n">
        <v>46311</v>
      </c>
      <c r="F764" t="inlineStr">
        <is>
          <t>KRONOBERGS LÄN</t>
        </is>
      </c>
      <c r="G764" t="inlineStr">
        <is>
          <t>LJUNGBY</t>
        </is>
      </c>
      <c r="I764" t="n">
        <v>0.8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24334-2023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45081</v>
      </c>
      <c r="E765" s="1" t="n">
        <v>46311</v>
      </c>
      <c r="F765" t="inlineStr">
        <is>
          <t>KRONOBERGS LÄN</t>
        </is>
      </c>
      <c r="G765" t="inlineStr">
        <is>
          <t>LJUNGBY</t>
        </is>
      </c>
      <c r="I765" t="n">
        <v>0.5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26858-2023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45093</v>
      </c>
      <c r="E766" s="1" t="n">
        <v>46311</v>
      </c>
      <c r="F766" t="inlineStr">
        <is>
          <t>KRONOBERGS LÄN</t>
        </is>
      </c>
      <c r="G766" t="inlineStr">
        <is>
          <t>LJUNGBY</t>
        </is>
      </c>
      <c r="I766" t="n">
        <v>0.5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50581-2025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45945</v>
      </c>
      <c r="E767" s="1" t="n">
        <v>46311</v>
      </c>
      <c r="F767" t="inlineStr">
        <is>
          <t>KRONOBERGS LÄN</t>
        </is>
      </c>
      <c r="G767" t="inlineStr">
        <is>
          <t>LJUNGBY</t>
        </is>
      </c>
      <c r="I767" t="n">
        <v>2.7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28825-2026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46198</v>
      </c>
      <c r="E768" s="1" t="n">
        <v>46311</v>
      </c>
      <c r="F768" t="inlineStr">
        <is>
          <t>KRONOBERGS LÄN</t>
        </is>
      </c>
      <c r="G768" t="inlineStr">
        <is>
          <t>LJUNGBY</t>
        </is>
      </c>
      <c r="I768" t="n">
        <v>0.9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50592-2025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45945</v>
      </c>
      <c r="E769" s="1" t="n">
        <v>46311</v>
      </c>
      <c r="F769" t="inlineStr">
        <is>
          <t>KRONOBERGS LÄN</t>
        </is>
      </c>
      <c r="G769" t="inlineStr">
        <is>
          <t>LJUNGBY</t>
        </is>
      </c>
      <c r="I769" t="n">
        <v>0.8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42747-2025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45908</v>
      </c>
      <c r="E770" s="1" t="n">
        <v>46311</v>
      </c>
      <c r="F770" t="inlineStr">
        <is>
          <t>KRONOBERGS LÄN</t>
        </is>
      </c>
      <c r="G770" t="inlineStr">
        <is>
          <t>LJUNGBY</t>
        </is>
      </c>
      <c r="I770" t="n">
        <v>3.4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1479-2024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45305</v>
      </c>
      <c r="E771" s="1" t="n">
        <v>46311</v>
      </c>
      <c r="F771" t="inlineStr">
        <is>
          <t>KRONOBERGS LÄN</t>
        </is>
      </c>
      <c r="G771" t="inlineStr">
        <is>
          <t>LJUNGBY</t>
        </is>
      </c>
      <c r="I771" t="n">
        <v>4.5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51710-2024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45607</v>
      </c>
      <c r="E772" s="1" t="n">
        <v>46311</v>
      </c>
      <c r="F772" t="inlineStr">
        <is>
          <t>KRONOBERGS LÄN</t>
        </is>
      </c>
      <c r="G772" t="inlineStr">
        <is>
          <t>LJUNGBY</t>
        </is>
      </c>
      <c r="I772" t="n">
        <v>1.2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27562-2023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45097</v>
      </c>
      <c r="E773" s="1" t="n">
        <v>46311</v>
      </c>
      <c r="F773" t="inlineStr">
        <is>
          <t>KRONOBERGS LÄN</t>
        </is>
      </c>
      <c r="G773" t="inlineStr">
        <is>
          <t>LJUNGBY</t>
        </is>
      </c>
      <c r="I773" t="n">
        <v>0.7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50862-2025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45946</v>
      </c>
      <c r="E774" s="1" t="n">
        <v>46311</v>
      </c>
      <c r="F774" t="inlineStr">
        <is>
          <t>KRONOBERGS LÄN</t>
        </is>
      </c>
      <c r="G774" t="inlineStr">
        <is>
          <t>LJUNGBY</t>
        </is>
      </c>
      <c r="I774" t="n">
        <v>0.2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28819-2026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46198</v>
      </c>
      <c r="E775" s="1" t="n">
        <v>46311</v>
      </c>
      <c r="F775" t="inlineStr">
        <is>
          <t>KRONOBERGS LÄN</t>
        </is>
      </c>
      <c r="G775" t="inlineStr">
        <is>
          <t>LJUNGBY</t>
        </is>
      </c>
      <c r="I775" t="n">
        <v>0.6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32509-2023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45121</v>
      </c>
      <c r="E776" s="1" t="n">
        <v>46311</v>
      </c>
      <c r="F776" t="inlineStr">
        <is>
          <t>KRONOBERGS LÄN</t>
        </is>
      </c>
      <c r="G776" t="inlineStr">
        <is>
          <t>LJUNGBY</t>
        </is>
      </c>
      <c r="I776" t="n">
        <v>2.5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9895-2023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44985</v>
      </c>
      <c r="E777" s="1" t="n">
        <v>46311</v>
      </c>
      <c r="F777" t="inlineStr">
        <is>
          <t>KRONOBERGS LÄN</t>
        </is>
      </c>
      <c r="G777" t="inlineStr">
        <is>
          <t>LJUNGBY</t>
        </is>
      </c>
      <c r="I777" t="n">
        <v>1.9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17627-2025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45757</v>
      </c>
      <c r="E778" s="1" t="n">
        <v>46311</v>
      </c>
      <c r="F778" t="inlineStr">
        <is>
          <t>KRONOBERGS LÄN</t>
        </is>
      </c>
      <c r="G778" t="inlineStr">
        <is>
          <t>LJUNGBY</t>
        </is>
      </c>
      <c r="I778" t="n">
        <v>0.4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7828-2024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45349</v>
      </c>
      <c r="E779" s="1" t="n">
        <v>46311</v>
      </c>
      <c r="F779" t="inlineStr">
        <is>
          <t>KRONOBERGS LÄN</t>
        </is>
      </c>
      <c r="G779" t="inlineStr">
        <is>
          <t>LJUNGBY</t>
        </is>
      </c>
      <c r="I779" t="n">
        <v>0.4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8798-2023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44978</v>
      </c>
      <c r="E780" s="1" t="n">
        <v>46311</v>
      </c>
      <c r="F780" t="inlineStr">
        <is>
          <t>KRONOBERGS LÄN</t>
        </is>
      </c>
      <c r="G780" t="inlineStr">
        <is>
          <t>LJUNGBY</t>
        </is>
      </c>
      <c r="I780" t="n">
        <v>1.1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5482-2023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44960</v>
      </c>
      <c r="E781" s="1" t="n">
        <v>46311</v>
      </c>
      <c r="F781" t="inlineStr">
        <is>
          <t>KRONOBERGS LÄN</t>
        </is>
      </c>
      <c r="G781" t="inlineStr">
        <is>
          <t>LJUNGBY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29768-2026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46204</v>
      </c>
      <c r="E782" s="1" t="n">
        <v>46311</v>
      </c>
      <c r="F782" t="inlineStr">
        <is>
          <t>KRONOBERGS LÄN</t>
        </is>
      </c>
      <c r="G782" t="inlineStr">
        <is>
          <t>LJUNGBY</t>
        </is>
      </c>
      <c r="I782" t="n">
        <v>0.9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51481-2025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45950</v>
      </c>
      <c r="E783" s="1" t="n">
        <v>46311</v>
      </c>
      <c r="F783" t="inlineStr">
        <is>
          <t>KRONOBERGS LÄN</t>
        </is>
      </c>
      <c r="G783" t="inlineStr">
        <is>
          <t>LJUNGBY</t>
        </is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22123-2022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44712</v>
      </c>
      <c r="E784" s="1" t="n">
        <v>46311</v>
      </c>
      <c r="F784" t="inlineStr">
        <is>
          <t>KRONOBERGS LÄN</t>
        </is>
      </c>
      <c r="G784" t="inlineStr">
        <is>
          <t>LJUNGBY</t>
        </is>
      </c>
      <c r="I784" t="n">
        <v>2.4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30604-2026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46205</v>
      </c>
      <c r="E785" s="1" t="n">
        <v>46311</v>
      </c>
      <c r="F785" t="inlineStr">
        <is>
          <t>KRONOBERGS LÄN</t>
        </is>
      </c>
      <c r="G785" t="inlineStr">
        <is>
          <t>LJUNGBY</t>
        </is>
      </c>
      <c r="I785" t="n">
        <v>0.8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383-2023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44929</v>
      </c>
      <c r="E786" s="1" t="n">
        <v>46311</v>
      </c>
      <c r="F786" t="inlineStr">
        <is>
          <t>KRONOBERGS LÄN</t>
        </is>
      </c>
      <c r="G786" t="inlineStr">
        <is>
          <t>LJUNGBY</t>
        </is>
      </c>
      <c r="I786" t="n">
        <v>0.7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51390-2025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45950</v>
      </c>
      <c r="E787" s="1" t="n">
        <v>46311</v>
      </c>
      <c r="F787" t="inlineStr">
        <is>
          <t>KRONOBERGS LÄN</t>
        </is>
      </c>
      <c r="G787" t="inlineStr">
        <is>
          <t>LJUNGBY</t>
        </is>
      </c>
      <c r="I787" t="n">
        <v>1.4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64691-2023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45281</v>
      </c>
      <c r="E788" s="1" t="n">
        <v>46311</v>
      </c>
      <c r="F788" t="inlineStr">
        <is>
          <t>KRONOBERGS LÄN</t>
        </is>
      </c>
      <c r="G788" t="inlineStr">
        <is>
          <t>LJUNGBY</t>
        </is>
      </c>
      <c r="I788" t="n">
        <v>1.3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59250-2023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45253</v>
      </c>
      <c r="E789" s="1" t="n">
        <v>46311</v>
      </c>
      <c r="F789" t="inlineStr">
        <is>
          <t>KRONOBERGS LÄN</t>
        </is>
      </c>
      <c r="G789" t="inlineStr">
        <is>
          <t>LJUNGBY</t>
        </is>
      </c>
      <c r="I789" t="n">
        <v>0.4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16727-2025</t>
        </is>
      </c>
      <c r="B790" t="inlineStr">
        <is>
          <t>avverkningsanmälan</t>
        </is>
      </c>
      <c r="C790" t="inlineStr">
        <is>
          <t>Avverkning för annat ändamål</t>
        </is>
      </c>
      <c r="D790" s="1" t="n">
        <v>45754</v>
      </c>
      <c r="E790" s="1" t="n">
        <v>46311</v>
      </c>
      <c r="F790" t="inlineStr">
        <is>
          <t>KRONOBERGS LÄN</t>
        </is>
      </c>
      <c r="G790" t="inlineStr">
        <is>
          <t>LJUNGBY</t>
        </is>
      </c>
      <c r="I790" t="n">
        <v>0.8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30035-2026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46206</v>
      </c>
      <c r="E791" s="1" t="n">
        <v>46311</v>
      </c>
      <c r="F791" t="inlineStr">
        <is>
          <t>KRONOBERGS LÄN</t>
        </is>
      </c>
      <c r="G791" t="inlineStr">
        <is>
          <t>LJUNGBY</t>
        </is>
      </c>
      <c r="I791" t="n">
        <v>0.7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30208-2026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46206</v>
      </c>
      <c r="E792" s="1" t="n">
        <v>46311</v>
      </c>
      <c r="F792" t="inlineStr">
        <is>
          <t>KRONOBERGS LÄN</t>
        </is>
      </c>
      <c r="G792" t="inlineStr">
        <is>
          <t>LJUNGBY</t>
        </is>
      </c>
      <c r="I792" t="n">
        <v>2.7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30218-2026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46206</v>
      </c>
      <c r="E793" s="1" t="n">
        <v>46311</v>
      </c>
      <c r="F793" t="inlineStr">
        <is>
          <t>KRONOBERGS LÄN</t>
        </is>
      </c>
      <c r="G793" t="inlineStr">
        <is>
          <t>LJUNGBY</t>
        </is>
      </c>
      <c r="I793" t="n">
        <v>0.6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51459-2025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45950</v>
      </c>
      <c r="E794" s="1" t="n">
        <v>46311</v>
      </c>
      <c r="F794" t="inlineStr">
        <is>
          <t>KRONOBERGS LÄN</t>
        </is>
      </c>
      <c r="G794" t="inlineStr">
        <is>
          <t>LJUNGBY</t>
        </is>
      </c>
      <c r="I794" t="n">
        <v>1.5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51463-2025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45950</v>
      </c>
      <c r="E795" s="1" t="n">
        <v>46311</v>
      </c>
      <c r="F795" t="inlineStr">
        <is>
          <t>KRONOBERGS LÄN</t>
        </is>
      </c>
      <c r="G795" t="inlineStr">
        <is>
          <t>LJUNGBY</t>
        </is>
      </c>
      <c r="I795" t="n">
        <v>1.2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30146-2026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46206</v>
      </c>
      <c r="E796" s="1" t="n">
        <v>46311</v>
      </c>
      <c r="F796" t="inlineStr">
        <is>
          <t>KRONOBERGS LÄN</t>
        </is>
      </c>
      <c r="G796" t="inlineStr">
        <is>
          <t>LJUNGBY</t>
        </is>
      </c>
      <c r="I796" t="n">
        <v>0.5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30033-2026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46206</v>
      </c>
      <c r="E797" s="1" t="n">
        <v>46311</v>
      </c>
      <c r="F797" t="inlineStr">
        <is>
          <t>KRONOBERGS LÄN</t>
        </is>
      </c>
      <c r="G797" t="inlineStr">
        <is>
          <t>LJUNGBY</t>
        </is>
      </c>
      <c r="I797" t="n">
        <v>0.6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53539-2024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45614</v>
      </c>
      <c r="E798" s="1" t="n">
        <v>46311</v>
      </c>
      <c r="F798" t="inlineStr">
        <is>
          <t>KRONOBERGS LÄN</t>
        </is>
      </c>
      <c r="G798" t="inlineStr">
        <is>
          <t>LJUNGBY</t>
        </is>
      </c>
      <c r="H798" t="inlineStr">
        <is>
          <t>Sveaskog</t>
        </is>
      </c>
      <c r="I798" t="n">
        <v>5.1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10844-2023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44991</v>
      </c>
      <c r="E799" s="1" t="n">
        <v>46311</v>
      </c>
      <c r="F799" t="inlineStr">
        <is>
          <t>KRONOBERGS LÄN</t>
        </is>
      </c>
      <c r="G799" t="inlineStr">
        <is>
          <t>LJUNGBY</t>
        </is>
      </c>
      <c r="I799" t="n">
        <v>1.7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7383-2023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44971</v>
      </c>
      <c r="E800" s="1" t="n">
        <v>46311</v>
      </c>
      <c r="F800" t="inlineStr">
        <is>
          <t>KRONOBERGS LÄN</t>
        </is>
      </c>
      <c r="G800" t="inlineStr">
        <is>
          <t>LJUNGBY</t>
        </is>
      </c>
      <c r="I800" t="n">
        <v>0.2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30751-2026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46211</v>
      </c>
      <c r="E801" s="1" t="n">
        <v>46311</v>
      </c>
      <c r="F801" t="inlineStr">
        <is>
          <t>KRONOBERGS LÄN</t>
        </is>
      </c>
      <c r="G801" t="inlineStr">
        <is>
          <t>LJUNGBY</t>
        </is>
      </c>
      <c r="I801" t="n">
        <v>1.4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43644-2025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45911</v>
      </c>
      <c r="E802" s="1" t="n">
        <v>46311</v>
      </c>
      <c r="F802" t="inlineStr">
        <is>
          <t>KRONOBERGS LÄN</t>
        </is>
      </c>
      <c r="G802" t="inlineStr">
        <is>
          <t>LJUNGBY</t>
        </is>
      </c>
      <c r="I802" t="n">
        <v>1.1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30750-2026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46211</v>
      </c>
      <c r="E803" s="1" t="n">
        <v>46311</v>
      </c>
      <c r="F803" t="inlineStr">
        <is>
          <t>KRONOBERGS LÄN</t>
        </is>
      </c>
      <c r="G803" t="inlineStr">
        <is>
          <t>LJUNGBY</t>
        </is>
      </c>
      <c r="I803" t="n">
        <v>1.9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32664-2023</t>
        </is>
      </c>
      <c r="B804" t="inlineStr">
        <is>
          <t>avverkningsanmälan</t>
        </is>
      </c>
      <c r="C804" t="inlineStr">
        <is>
          <t>Avverkning för annat ändamål</t>
        </is>
      </c>
      <c r="D804" s="1" t="n">
        <v>45111</v>
      </c>
      <c r="E804" s="1" t="n">
        <v>46311</v>
      </c>
      <c r="F804" t="inlineStr">
        <is>
          <t>KRONOBERGS LÄN</t>
        </is>
      </c>
      <c r="G804" t="inlineStr">
        <is>
          <t>LJUNGBY</t>
        </is>
      </c>
      <c r="I804" t="n">
        <v>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42784-2023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45181</v>
      </c>
      <c r="E805" s="1" t="n">
        <v>46311</v>
      </c>
      <c r="F805" t="inlineStr">
        <is>
          <t>KRONOBERGS LÄN</t>
        </is>
      </c>
      <c r="G805" t="inlineStr">
        <is>
          <t>LJUNGBY</t>
        </is>
      </c>
      <c r="I805" t="n">
        <v>2.3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32079-2023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45119</v>
      </c>
      <c r="E806" s="1" t="n">
        <v>46311</v>
      </c>
      <c r="F806" t="inlineStr">
        <is>
          <t>KRONOBERGS LÄN</t>
        </is>
      </c>
      <c r="G806" t="inlineStr">
        <is>
          <t>LJUNGBY</t>
        </is>
      </c>
      <c r="I806" t="n">
        <v>0.6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53792-2024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45615</v>
      </c>
      <c r="E807" s="1" t="n">
        <v>46311</v>
      </c>
      <c r="F807" t="inlineStr">
        <is>
          <t>KRONOBERGS LÄN</t>
        </is>
      </c>
      <c r="G807" t="inlineStr">
        <is>
          <t>LJUNGBY</t>
        </is>
      </c>
      <c r="I807" t="n">
        <v>1.1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51172-2022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44868</v>
      </c>
      <c r="E808" s="1" t="n">
        <v>46311</v>
      </c>
      <c r="F808" t="inlineStr">
        <is>
          <t>KRONOBERGS LÄN</t>
        </is>
      </c>
      <c r="G808" t="inlineStr">
        <is>
          <t>LJUNGBY</t>
        </is>
      </c>
      <c r="I808" t="n">
        <v>2.3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54454-2022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44882</v>
      </c>
      <c r="E809" s="1" t="n">
        <v>46311</v>
      </c>
      <c r="F809" t="inlineStr">
        <is>
          <t>KRONOBERGS LÄN</t>
        </is>
      </c>
      <c r="G809" t="inlineStr">
        <is>
          <t>LJUNGBY</t>
        </is>
      </c>
      <c r="I809" t="n">
        <v>2.8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44304-2023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45188</v>
      </c>
      <c r="E810" s="1" t="n">
        <v>46311</v>
      </c>
      <c r="F810" t="inlineStr">
        <is>
          <t>KRONOBERGS LÄN</t>
        </is>
      </c>
      <c r="G810" t="inlineStr">
        <is>
          <t>LJUNGBY</t>
        </is>
      </c>
      <c r="I810" t="n">
        <v>4.8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52760-2025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45957</v>
      </c>
      <c r="E811" s="1" t="n">
        <v>46311</v>
      </c>
      <c r="F811" t="inlineStr">
        <is>
          <t>KRONOBERGS LÄN</t>
        </is>
      </c>
      <c r="G811" t="inlineStr">
        <is>
          <t>LJUNGBY</t>
        </is>
      </c>
      <c r="I811" t="n">
        <v>7.6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52764-2025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45957</v>
      </c>
      <c r="E812" s="1" t="n">
        <v>46311</v>
      </c>
      <c r="F812" t="inlineStr">
        <is>
          <t>KRONOBERGS LÄN</t>
        </is>
      </c>
      <c r="G812" t="inlineStr">
        <is>
          <t>LJUNGBY</t>
        </is>
      </c>
      <c r="I812" t="n">
        <v>2.9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26676-2026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46184</v>
      </c>
      <c r="E813" s="1" t="n">
        <v>46311</v>
      </c>
      <c r="F813" t="inlineStr">
        <is>
          <t>KRONOBERGS LÄN</t>
        </is>
      </c>
      <c r="G813" t="inlineStr">
        <is>
          <t>LJUNGBY</t>
        </is>
      </c>
      <c r="I813" t="n">
        <v>0.8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31148-2026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46216</v>
      </c>
      <c r="E814" s="1" t="n">
        <v>46311</v>
      </c>
      <c r="F814" t="inlineStr">
        <is>
          <t>KRONOBERGS LÄN</t>
        </is>
      </c>
      <c r="G814" t="inlineStr">
        <is>
          <t>LJUNGBY</t>
        </is>
      </c>
      <c r="I814" t="n">
        <v>2.5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25439-2024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45463</v>
      </c>
      <c r="E815" s="1" t="n">
        <v>46311</v>
      </c>
      <c r="F815" t="inlineStr">
        <is>
          <t>KRONOBERGS LÄN</t>
        </is>
      </c>
      <c r="G815" t="inlineStr">
        <is>
          <t>LJUNGBY</t>
        </is>
      </c>
      <c r="I815" t="n">
        <v>0.4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8071-2026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46063</v>
      </c>
      <c r="E816" s="1" t="n">
        <v>46311</v>
      </c>
      <c r="F816" t="inlineStr">
        <is>
          <t>KRONOBERGS LÄN</t>
        </is>
      </c>
      <c r="G816" t="inlineStr">
        <is>
          <t>LJUNGBY</t>
        </is>
      </c>
      <c r="I816" t="n">
        <v>4.9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39042-2025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45888</v>
      </c>
      <c r="E817" s="1" t="n">
        <v>46311</v>
      </c>
      <c r="F817" t="inlineStr">
        <is>
          <t>KRONOBERGS LÄN</t>
        </is>
      </c>
      <c r="G817" t="inlineStr">
        <is>
          <t>LJUNGBY</t>
        </is>
      </c>
      <c r="I817" t="n">
        <v>6.4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50882-2024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45602</v>
      </c>
      <c r="E818" s="1" t="n">
        <v>46311</v>
      </c>
      <c r="F818" t="inlineStr">
        <is>
          <t>KRONOBERGS LÄN</t>
        </is>
      </c>
      <c r="G818" t="inlineStr">
        <is>
          <t>LJUNGBY</t>
        </is>
      </c>
      <c r="I818" t="n">
        <v>0.9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2088-2025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45672</v>
      </c>
      <c r="E819" s="1" t="n">
        <v>46311</v>
      </c>
      <c r="F819" t="inlineStr">
        <is>
          <t>KRONOBERGS LÄN</t>
        </is>
      </c>
      <c r="G819" t="inlineStr">
        <is>
          <t>LJUNGBY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52758-2025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45957</v>
      </c>
      <c r="E820" s="1" t="n">
        <v>46311</v>
      </c>
      <c r="F820" t="inlineStr">
        <is>
          <t>KRONOBERGS LÄN</t>
        </is>
      </c>
      <c r="G820" t="inlineStr">
        <is>
          <t>LJUNGBY</t>
        </is>
      </c>
      <c r="I820" t="n">
        <v>5.2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52768-2025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45957</v>
      </c>
      <c r="E821" s="1" t="n">
        <v>46311</v>
      </c>
      <c r="F821" t="inlineStr">
        <is>
          <t>KRONOBERGS LÄN</t>
        </is>
      </c>
      <c r="G821" t="inlineStr">
        <is>
          <t>LJUNGBY</t>
        </is>
      </c>
      <c r="I821" t="n">
        <v>0.6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39505-2024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45551</v>
      </c>
      <c r="E822" s="1" t="n">
        <v>46311</v>
      </c>
      <c r="F822" t="inlineStr">
        <is>
          <t>KRONOBERGS LÄN</t>
        </is>
      </c>
      <c r="G822" t="inlineStr">
        <is>
          <t>LJUNGBY</t>
        </is>
      </c>
      <c r="H822" t="inlineStr">
        <is>
          <t>Sveaskog</t>
        </is>
      </c>
      <c r="I822" t="n">
        <v>1.4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54682-2022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44883</v>
      </c>
      <c r="E823" s="1" t="n">
        <v>46311</v>
      </c>
      <c r="F823" t="inlineStr">
        <is>
          <t>KRONOBERGS LÄN</t>
        </is>
      </c>
      <c r="G823" t="inlineStr">
        <is>
          <t>LJUNGBY</t>
        </is>
      </c>
      <c r="I823" t="n">
        <v>1.1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53415-2024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45614</v>
      </c>
      <c r="E824" s="1" t="n">
        <v>46311</v>
      </c>
      <c r="F824" t="inlineStr">
        <is>
          <t>KRONOBERGS LÄN</t>
        </is>
      </c>
      <c r="G824" t="inlineStr">
        <is>
          <t>LJUNGBY</t>
        </is>
      </c>
      <c r="H824" t="inlineStr">
        <is>
          <t>Sveaskog</t>
        </is>
      </c>
      <c r="I824" t="n">
        <v>2.3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53446-2025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45959</v>
      </c>
      <c r="E825" s="1" t="n">
        <v>46311</v>
      </c>
      <c r="F825" t="inlineStr">
        <is>
          <t>KRONOBERGS LÄN</t>
        </is>
      </c>
      <c r="G825" t="inlineStr">
        <is>
          <t>LJUNGBY</t>
        </is>
      </c>
      <c r="H825" t="inlineStr">
        <is>
          <t>Övriga Aktiebolag</t>
        </is>
      </c>
      <c r="I825" t="n">
        <v>4.7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21863-2023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45068</v>
      </c>
      <c r="E826" s="1" t="n">
        <v>46311</v>
      </c>
      <c r="F826" t="inlineStr">
        <is>
          <t>KRONOBERGS LÄN</t>
        </is>
      </c>
      <c r="G826" t="inlineStr">
        <is>
          <t>LJUNGBY</t>
        </is>
      </c>
      <c r="I826" t="n">
        <v>0.8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15580-2024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45401</v>
      </c>
      <c r="E827" s="1" t="n">
        <v>46311</v>
      </c>
      <c r="F827" t="inlineStr">
        <is>
          <t>KRONOBERGS LÄN</t>
        </is>
      </c>
      <c r="G827" t="inlineStr">
        <is>
          <t>LJUNGBY</t>
        </is>
      </c>
      <c r="I827" t="n">
        <v>2.1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53883-2025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45961</v>
      </c>
      <c r="E828" s="1" t="n">
        <v>46311</v>
      </c>
      <c r="F828" t="inlineStr">
        <is>
          <t>KRONOBERGS LÄN</t>
        </is>
      </c>
      <c r="G828" t="inlineStr">
        <is>
          <t>LJUNGBY</t>
        </is>
      </c>
      <c r="I828" t="n">
        <v>0.4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28676-2023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45103</v>
      </c>
      <c r="E829" s="1" t="n">
        <v>46311</v>
      </c>
      <c r="F829" t="inlineStr">
        <is>
          <t>KRONOBERGS LÄN</t>
        </is>
      </c>
      <c r="G829" t="inlineStr">
        <is>
          <t>LJUNGBY</t>
        </is>
      </c>
      <c r="I829" t="n">
        <v>0.6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54259-2025</t>
        </is>
      </c>
      <c r="B830" t="inlineStr">
        <is>
          <t>avverkningsanmälan</t>
        </is>
      </c>
      <c r="C830" t="inlineStr">
        <is>
          <t>Avverkning för annat ändamål</t>
        </is>
      </c>
      <c r="D830" s="1" t="n">
        <v>45964</v>
      </c>
      <c r="E830" s="1" t="n">
        <v>46311</v>
      </c>
      <c r="F830" t="inlineStr">
        <is>
          <t>KRONOBERGS LÄN</t>
        </is>
      </c>
      <c r="G830" t="inlineStr">
        <is>
          <t>LJUNGBY</t>
        </is>
      </c>
      <c r="H830" t="inlineStr">
        <is>
          <t>Kommuner</t>
        </is>
      </c>
      <c r="I830" t="n">
        <v>0.2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54214-2025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45964</v>
      </c>
      <c r="E831" s="1" t="n">
        <v>46311</v>
      </c>
      <c r="F831" t="inlineStr">
        <is>
          <t>KRONOBERGS LÄN</t>
        </is>
      </c>
      <c r="G831" t="inlineStr">
        <is>
          <t>LJUNGBY</t>
        </is>
      </c>
      <c r="I831" t="n">
        <v>2.6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62948-2025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46009</v>
      </c>
      <c r="E832" s="1" t="n">
        <v>46311</v>
      </c>
      <c r="F832" t="inlineStr">
        <is>
          <t>KRONOBERGS LÄN</t>
        </is>
      </c>
      <c r="G832" t="inlineStr">
        <is>
          <t>LJUNGBY</t>
        </is>
      </c>
      <c r="I832" t="n">
        <v>1.8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54003-2025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45961</v>
      </c>
      <c r="E833" s="1" t="n">
        <v>46311</v>
      </c>
      <c r="F833" t="inlineStr">
        <is>
          <t>KRONOBERGS LÄN</t>
        </is>
      </c>
      <c r="G833" t="inlineStr">
        <is>
          <t>LJUNGBY</t>
        </is>
      </c>
      <c r="I833" t="n">
        <v>0.8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37041-2026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46273</v>
      </c>
      <c r="E834" s="1" t="n">
        <v>46311</v>
      </c>
      <c r="F834" t="inlineStr">
        <is>
          <t>KRONOBERGS LÄN</t>
        </is>
      </c>
      <c r="G834" t="inlineStr">
        <is>
          <t>LJUNGBY</t>
        </is>
      </c>
      <c r="I834" t="n">
        <v>4.3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886-2024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45301</v>
      </c>
      <c r="E835" s="1" t="n">
        <v>46311</v>
      </c>
      <c r="F835" t="inlineStr">
        <is>
          <t>KRONOBERGS LÄN</t>
        </is>
      </c>
      <c r="G835" t="inlineStr">
        <is>
          <t>LJUNGBY</t>
        </is>
      </c>
      <c r="I835" t="n">
        <v>2.2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6812-2025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45700</v>
      </c>
      <c r="E836" s="1" t="n">
        <v>46311</v>
      </c>
      <c r="F836" t="inlineStr">
        <is>
          <t>KRONOBERGS LÄN</t>
        </is>
      </c>
      <c r="G836" t="inlineStr">
        <is>
          <t>LJUNGBY</t>
        </is>
      </c>
      <c r="I836" t="n">
        <v>2.7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21756-2023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45065</v>
      </c>
      <c r="E837" s="1" t="n">
        <v>46311</v>
      </c>
      <c r="F837" t="inlineStr">
        <is>
          <t>KRONOBERGS LÄN</t>
        </is>
      </c>
      <c r="G837" t="inlineStr">
        <is>
          <t>LJUNGBY</t>
        </is>
      </c>
      <c r="I837" t="n">
        <v>6.7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37077-2026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46273</v>
      </c>
      <c r="E838" s="1" t="n">
        <v>46311</v>
      </c>
      <c r="F838" t="inlineStr">
        <is>
          <t>KRONOBERGS LÄN</t>
        </is>
      </c>
      <c r="G838" t="inlineStr">
        <is>
          <t>LJUNGBY</t>
        </is>
      </c>
      <c r="I838" t="n">
        <v>0.7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37290-2026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46274</v>
      </c>
      <c r="E839" s="1" t="n">
        <v>46311</v>
      </c>
      <c r="F839" t="inlineStr">
        <is>
          <t>KRONOBERGS LÄN</t>
        </is>
      </c>
      <c r="G839" t="inlineStr">
        <is>
          <t>LJUNGBY</t>
        </is>
      </c>
      <c r="I839" t="n">
        <v>1.4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37292-2026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46274</v>
      </c>
      <c r="E840" s="1" t="n">
        <v>46311</v>
      </c>
      <c r="F840" t="inlineStr">
        <is>
          <t>KRONOBERGS LÄN</t>
        </is>
      </c>
      <c r="G840" t="inlineStr">
        <is>
          <t>LJUNGBY</t>
        </is>
      </c>
      <c r="I840" t="n">
        <v>1.3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32685-2023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45121</v>
      </c>
      <c r="E841" s="1" t="n">
        <v>46311</v>
      </c>
      <c r="F841" t="inlineStr">
        <is>
          <t>KRONOBERGS LÄN</t>
        </is>
      </c>
      <c r="G841" t="inlineStr">
        <is>
          <t>LJUNGBY</t>
        </is>
      </c>
      <c r="I841" t="n">
        <v>1.6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35488-2023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45146</v>
      </c>
      <c r="E842" s="1" t="n">
        <v>46311</v>
      </c>
      <c r="F842" t="inlineStr">
        <is>
          <t>KRONOBERGS LÄN</t>
        </is>
      </c>
      <c r="G842" t="inlineStr">
        <is>
          <t>LJUNGBY</t>
        </is>
      </c>
      <c r="I842" t="n">
        <v>0.6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58227-2024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45632</v>
      </c>
      <c r="E843" s="1" t="n">
        <v>46311</v>
      </c>
      <c r="F843" t="inlineStr">
        <is>
          <t>KRONOBERGS LÄN</t>
        </is>
      </c>
      <c r="G843" t="inlineStr">
        <is>
          <t>LJUNGBY</t>
        </is>
      </c>
      <c r="I843" t="n">
        <v>2.2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49302-2023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45210</v>
      </c>
      <c r="E844" s="1" t="n">
        <v>46311</v>
      </c>
      <c r="F844" t="inlineStr">
        <is>
          <t>KRONOBERGS LÄN</t>
        </is>
      </c>
      <c r="G844" t="inlineStr">
        <is>
          <t>LJUNGBY</t>
        </is>
      </c>
      <c r="I844" t="n">
        <v>2.5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51537-2024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45603</v>
      </c>
      <c r="E845" s="1" t="n">
        <v>46311</v>
      </c>
      <c r="F845" t="inlineStr">
        <is>
          <t>KRONOBERGS LÄN</t>
        </is>
      </c>
      <c r="G845" t="inlineStr">
        <is>
          <t>LJUNGBY</t>
        </is>
      </c>
      <c r="H845" t="inlineStr">
        <is>
          <t>Kyrkan</t>
        </is>
      </c>
      <c r="I845" t="n">
        <v>13.5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15847-2025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45748</v>
      </c>
      <c r="E846" s="1" t="n">
        <v>46311</v>
      </c>
      <c r="F846" t="inlineStr">
        <is>
          <t>KRONOBERGS LÄN</t>
        </is>
      </c>
      <c r="G846" t="inlineStr">
        <is>
          <t>LJUNGBY</t>
        </is>
      </c>
      <c r="I846" t="n">
        <v>0.8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42669-2023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45181</v>
      </c>
      <c r="E847" s="1" t="n">
        <v>46311</v>
      </c>
      <c r="F847" t="inlineStr">
        <is>
          <t>KRONOBERGS LÄN</t>
        </is>
      </c>
      <c r="G847" t="inlineStr">
        <is>
          <t>LJUNGBY</t>
        </is>
      </c>
      <c r="I847" t="n">
        <v>3.3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17037-2024</t>
        </is>
      </c>
      <c r="B848" t="inlineStr">
        <is>
          <t>avverkningsanmälan</t>
        </is>
      </c>
      <c r="C848" t="inlineStr">
        <is>
          <t>Avverkning för annat ändamål</t>
        </is>
      </c>
      <c r="D848" s="1" t="n">
        <v>45412</v>
      </c>
      <c r="E848" s="1" t="n">
        <v>46311</v>
      </c>
      <c r="F848" t="inlineStr">
        <is>
          <t>KRONOBERGS LÄN</t>
        </is>
      </c>
      <c r="G848" t="inlineStr">
        <is>
          <t>LJUNGBY</t>
        </is>
      </c>
      <c r="I848" t="n">
        <v>2.6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37670-2026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46277</v>
      </c>
      <c r="E849" s="1" t="n">
        <v>46311</v>
      </c>
      <c r="F849" t="inlineStr">
        <is>
          <t>KRONOBERGS LÄN</t>
        </is>
      </c>
      <c r="G849" t="inlineStr">
        <is>
          <t>LJUNGBY</t>
        </is>
      </c>
      <c r="I849" t="n">
        <v>1.9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42021-2024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45561</v>
      </c>
      <c r="E850" s="1" t="n">
        <v>46311</v>
      </c>
      <c r="F850" t="inlineStr">
        <is>
          <t>KRONOBERGS LÄN</t>
        </is>
      </c>
      <c r="G850" t="inlineStr">
        <is>
          <t>LJUNGBY</t>
        </is>
      </c>
      <c r="I850" t="n">
        <v>2.3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16983-2025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45755</v>
      </c>
      <c r="E851" s="1" t="n">
        <v>46311</v>
      </c>
      <c r="F851" t="inlineStr">
        <is>
          <t>KRONOBERGS LÄN</t>
        </is>
      </c>
      <c r="G851" t="inlineStr">
        <is>
          <t>LJUNGBY</t>
        </is>
      </c>
      <c r="I851" t="n">
        <v>0.6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37780-2026</t>
        </is>
      </c>
      <c r="B852" t="inlineStr">
        <is>
          <t>avverkningsanmälan</t>
        </is>
      </c>
      <c r="C852" t="inlineStr">
        <is>
          <t>Avverkning för annat ändamål</t>
        </is>
      </c>
      <c r="D852" s="1" t="n">
        <v>46279</v>
      </c>
      <c r="E852" s="1" t="n">
        <v>46311</v>
      </c>
      <c r="F852" t="inlineStr">
        <is>
          <t>KRONOBERGS LÄN</t>
        </is>
      </c>
      <c r="G852" t="inlineStr">
        <is>
          <t>LJUNGBY</t>
        </is>
      </c>
      <c r="I852" t="n">
        <v>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11524-2023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44993</v>
      </c>
      <c r="E853" s="1" t="n">
        <v>46311</v>
      </c>
      <c r="F853" t="inlineStr">
        <is>
          <t>KRONOBERGS LÄN</t>
        </is>
      </c>
      <c r="G853" t="inlineStr">
        <is>
          <t>LJUNGBY</t>
        </is>
      </c>
      <c r="I853" t="n">
        <v>1.7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27540-2023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45097</v>
      </c>
      <c r="E854" s="1" t="n">
        <v>46311</v>
      </c>
      <c r="F854" t="inlineStr">
        <is>
          <t>KRONOBERGS LÄN</t>
        </is>
      </c>
      <c r="G854" t="inlineStr">
        <is>
          <t>LJUNGBY</t>
        </is>
      </c>
      <c r="I854" t="n">
        <v>2.5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51867-2023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45223</v>
      </c>
      <c r="E855" s="1" t="n">
        <v>46311</v>
      </c>
      <c r="F855" t="inlineStr">
        <is>
          <t>KRONOBERGS LÄN</t>
        </is>
      </c>
      <c r="G855" t="inlineStr">
        <is>
          <t>LJUNGBY</t>
        </is>
      </c>
      <c r="I855" t="n">
        <v>0.3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58214-2023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45250</v>
      </c>
      <c r="E856" s="1" t="n">
        <v>46311</v>
      </c>
      <c r="F856" t="inlineStr">
        <is>
          <t>KRONOBERGS LÄN</t>
        </is>
      </c>
      <c r="G856" t="inlineStr">
        <is>
          <t>LJUNGBY</t>
        </is>
      </c>
      <c r="I856" t="n">
        <v>2.1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58858-2022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44903</v>
      </c>
      <c r="E857" s="1" t="n">
        <v>46311</v>
      </c>
      <c r="F857" t="inlineStr">
        <is>
          <t>KRONOBERGS LÄN</t>
        </is>
      </c>
      <c r="G857" t="inlineStr">
        <is>
          <t>LJUNGBY</t>
        </is>
      </c>
      <c r="I857" t="n">
        <v>0.5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56109-2025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45973</v>
      </c>
      <c r="E858" s="1" t="n">
        <v>46311</v>
      </c>
      <c r="F858" t="inlineStr">
        <is>
          <t>KRONOBERGS LÄN</t>
        </is>
      </c>
      <c r="G858" t="inlineStr">
        <is>
          <t>LJUNGBY</t>
        </is>
      </c>
      <c r="I858" t="n">
        <v>1.2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29590-2023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45106</v>
      </c>
      <c r="E859" s="1" t="n">
        <v>46311</v>
      </c>
      <c r="F859" t="inlineStr">
        <is>
          <t>KRONOBERGS LÄN</t>
        </is>
      </c>
      <c r="G859" t="inlineStr">
        <is>
          <t>LJUNGBY</t>
        </is>
      </c>
      <c r="I859" t="n">
        <v>2.8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38656-2024</t>
        </is>
      </c>
      <c r="B860" t="inlineStr">
        <is>
          <t>avverkningsanmälan</t>
        </is>
      </c>
      <c r="C860" t="inlineStr">
        <is>
          <t>Avverkning för annat ändamål</t>
        </is>
      </c>
      <c r="D860" s="1" t="n">
        <v>45546</v>
      </c>
      <c r="E860" s="1" t="n">
        <v>46311</v>
      </c>
      <c r="F860" t="inlineStr">
        <is>
          <t>KRONOBERGS LÄN</t>
        </is>
      </c>
      <c r="G860" t="inlineStr">
        <is>
          <t>LJUNGBY</t>
        </is>
      </c>
      <c r="I860" t="n">
        <v>0.9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32555-2026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46239</v>
      </c>
      <c r="E861" s="1" t="n">
        <v>46311</v>
      </c>
      <c r="F861" t="inlineStr">
        <is>
          <t>KRONOBERGS LÄN</t>
        </is>
      </c>
      <c r="G861" t="inlineStr">
        <is>
          <t>LJUNGBY</t>
        </is>
      </c>
      <c r="I861" t="n">
        <v>1.4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8503-2024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45355</v>
      </c>
      <c r="E862" s="1" t="n">
        <v>46311</v>
      </c>
      <c r="F862" t="inlineStr">
        <is>
          <t>KRONOBERGS LÄN</t>
        </is>
      </c>
      <c r="G862" t="inlineStr">
        <is>
          <t>LJUNGBY</t>
        </is>
      </c>
      <c r="I862" t="n">
        <v>0.8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2961-2024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45315</v>
      </c>
      <c r="E863" s="1" t="n">
        <v>46311</v>
      </c>
      <c r="F863" t="inlineStr">
        <is>
          <t>KRONOBERGS LÄN</t>
        </is>
      </c>
      <c r="G863" t="inlineStr">
        <is>
          <t>LJUNGBY</t>
        </is>
      </c>
      <c r="I863" t="n">
        <v>1.6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56708-2025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45977</v>
      </c>
      <c r="E864" s="1" t="n">
        <v>46311</v>
      </c>
      <c r="F864" t="inlineStr">
        <is>
          <t>KRONOBERGS LÄN</t>
        </is>
      </c>
      <c r="G864" t="inlineStr">
        <is>
          <t>LJUNGBY</t>
        </is>
      </c>
      <c r="I864" t="n">
        <v>5.2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56918-2025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45978</v>
      </c>
      <c r="E865" s="1" t="n">
        <v>46311</v>
      </c>
      <c r="F865" t="inlineStr">
        <is>
          <t>KRONOBERGS LÄN</t>
        </is>
      </c>
      <c r="G865" t="inlineStr">
        <is>
          <t>LJUNGBY</t>
        </is>
      </c>
      <c r="I865" t="n">
        <v>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6493-2024</t>
        </is>
      </c>
      <c r="B866" t="inlineStr">
        <is>
          <t>avverkningsanmälan</t>
        </is>
      </c>
      <c r="C866" t="inlineStr">
        <is>
          <t>Avverkning för annat ändamål</t>
        </is>
      </c>
      <c r="D866" s="1" t="n">
        <v>45339</v>
      </c>
      <c r="E866" s="1" t="n">
        <v>46311</v>
      </c>
      <c r="F866" t="inlineStr">
        <is>
          <t>KRONOBERGS LÄN</t>
        </is>
      </c>
      <c r="G866" t="inlineStr">
        <is>
          <t>LJUNGBY</t>
        </is>
      </c>
      <c r="I866" t="n">
        <v>1.5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32777-2026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46240</v>
      </c>
      <c r="E867" s="1" t="n">
        <v>46311</v>
      </c>
      <c r="F867" t="inlineStr">
        <is>
          <t>KRONOBERGS LÄN</t>
        </is>
      </c>
      <c r="G867" t="inlineStr">
        <is>
          <t>LJUNGBY</t>
        </is>
      </c>
      <c r="H867" t="inlineStr">
        <is>
          <t>Kyrkan</t>
        </is>
      </c>
      <c r="I867" t="n">
        <v>0.5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7491-2023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44971</v>
      </c>
      <c r="E868" s="1" t="n">
        <v>46311</v>
      </c>
      <c r="F868" t="inlineStr">
        <is>
          <t>KRONOBERGS LÄN</t>
        </is>
      </c>
      <c r="G868" t="inlineStr">
        <is>
          <t>LJUNGBY</t>
        </is>
      </c>
      <c r="I868" t="n">
        <v>0.6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56758-2025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45978</v>
      </c>
      <c r="E869" s="1" t="n">
        <v>46311</v>
      </c>
      <c r="F869" t="inlineStr">
        <is>
          <t>KRONOBERGS LÄN</t>
        </is>
      </c>
      <c r="G869" t="inlineStr">
        <is>
          <t>LJUNGBY</t>
        </is>
      </c>
      <c r="I869" t="n">
        <v>0.6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11350-2025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45726</v>
      </c>
      <c r="E870" s="1" t="n">
        <v>46311</v>
      </c>
      <c r="F870" t="inlineStr">
        <is>
          <t>KRONOBERGS LÄN</t>
        </is>
      </c>
      <c r="G870" t="inlineStr">
        <is>
          <t>LJUNGBY</t>
        </is>
      </c>
      <c r="I870" t="n">
        <v>3.8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52661-2024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45610</v>
      </c>
      <c r="E871" s="1" t="n">
        <v>46311</v>
      </c>
      <c r="F871" t="inlineStr">
        <is>
          <t>KRONOBERGS LÄN</t>
        </is>
      </c>
      <c r="G871" t="inlineStr">
        <is>
          <t>LJUNGBY</t>
        </is>
      </c>
      <c r="I871" t="n">
        <v>2.9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64680-2023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45281</v>
      </c>
      <c r="E872" s="1" t="n">
        <v>46311</v>
      </c>
      <c r="F872" t="inlineStr">
        <is>
          <t>KRONOBERGS LÄN</t>
        </is>
      </c>
      <c r="G872" t="inlineStr">
        <is>
          <t>LJUNGBY</t>
        </is>
      </c>
      <c r="I872" t="n">
        <v>0.8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3850-2022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44587</v>
      </c>
      <c r="E873" s="1" t="n">
        <v>46311</v>
      </c>
      <c r="F873" t="inlineStr">
        <is>
          <t>KRONOBERGS LÄN</t>
        </is>
      </c>
      <c r="G873" t="inlineStr">
        <is>
          <t>LJUNGBY</t>
        </is>
      </c>
      <c r="I873" t="n">
        <v>2.3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64338-2023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45279</v>
      </c>
      <c r="E874" s="1" t="n">
        <v>46311</v>
      </c>
      <c r="F874" t="inlineStr">
        <is>
          <t>KRONOBERGS LÄN</t>
        </is>
      </c>
      <c r="G874" t="inlineStr">
        <is>
          <t>LJUNGBY</t>
        </is>
      </c>
      <c r="H874" t="inlineStr">
        <is>
          <t>Kyrkan</t>
        </is>
      </c>
      <c r="I874" t="n">
        <v>1.8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32770-2026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46241</v>
      </c>
      <c r="E875" s="1" t="n">
        <v>46311</v>
      </c>
      <c r="F875" t="inlineStr">
        <is>
          <t>KRONOBERGS LÄN</t>
        </is>
      </c>
      <c r="G875" t="inlineStr">
        <is>
          <t>LJUNGBY</t>
        </is>
      </c>
      <c r="H875" t="inlineStr">
        <is>
          <t>Kyrkan</t>
        </is>
      </c>
      <c r="I875" t="n">
        <v>0.4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57431-2025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45980</v>
      </c>
      <c r="E876" s="1" t="n">
        <v>46311</v>
      </c>
      <c r="F876" t="inlineStr">
        <is>
          <t>KRONOBERGS LÄN</t>
        </is>
      </c>
      <c r="G876" t="inlineStr">
        <is>
          <t>LJUNGBY</t>
        </is>
      </c>
      <c r="I876" t="n">
        <v>0.5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38976-2024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45548</v>
      </c>
      <c r="E877" s="1" t="n">
        <v>46311</v>
      </c>
      <c r="F877" t="inlineStr">
        <is>
          <t>KRONOBERGS LÄN</t>
        </is>
      </c>
      <c r="G877" t="inlineStr">
        <is>
          <t>LJUNGBY</t>
        </is>
      </c>
      <c r="I877" t="n">
        <v>1.1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57450-2025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45980</v>
      </c>
      <c r="E878" s="1" t="n">
        <v>46311</v>
      </c>
      <c r="F878" t="inlineStr">
        <is>
          <t>KRONOBERGS LÄN</t>
        </is>
      </c>
      <c r="G878" t="inlineStr">
        <is>
          <t>LJUNGBY</t>
        </is>
      </c>
      <c r="I878" t="n">
        <v>0.6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52844-2024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45610</v>
      </c>
      <c r="E879" s="1" t="n">
        <v>46311</v>
      </c>
      <c r="F879" t="inlineStr">
        <is>
          <t>KRONOBERGS LÄN</t>
        </is>
      </c>
      <c r="G879" t="inlineStr">
        <is>
          <t>LJUNGBY</t>
        </is>
      </c>
      <c r="I879" t="n">
        <v>1.6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49084-2024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45594</v>
      </c>
      <c r="E880" s="1" t="n">
        <v>46311</v>
      </c>
      <c r="F880" t="inlineStr">
        <is>
          <t>KRONOBERGS LÄN</t>
        </is>
      </c>
      <c r="G880" t="inlineStr">
        <is>
          <t>LJUNGBY</t>
        </is>
      </c>
      <c r="I880" t="n">
        <v>0.4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23590-2023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45077</v>
      </c>
      <c r="E881" s="1" t="n">
        <v>46311</v>
      </c>
      <c r="F881" t="inlineStr">
        <is>
          <t>KRONOBERGS LÄN</t>
        </is>
      </c>
      <c r="G881" t="inlineStr">
        <is>
          <t>LJUNGBY</t>
        </is>
      </c>
      <c r="I881" t="n">
        <v>0.6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39125-2026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46287</v>
      </c>
      <c r="E882" s="1" t="n">
        <v>46311</v>
      </c>
      <c r="F882" t="inlineStr">
        <is>
          <t>KRONOBERGS LÄN</t>
        </is>
      </c>
      <c r="G882" t="inlineStr">
        <is>
          <t>LJUNGBY</t>
        </is>
      </c>
      <c r="I882" t="n">
        <v>0.6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27318-2025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45812</v>
      </c>
      <c r="E883" s="1" t="n">
        <v>46311</v>
      </c>
      <c r="F883" t="inlineStr">
        <is>
          <t>KRONOBERGS LÄN</t>
        </is>
      </c>
      <c r="G883" t="inlineStr">
        <is>
          <t>LJUNGBY</t>
        </is>
      </c>
      <c r="I883" t="n">
        <v>2.3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9336-2025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45714</v>
      </c>
      <c r="E884" s="1" t="n">
        <v>46311</v>
      </c>
      <c r="F884" t="inlineStr">
        <is>
          <t>KRONOBERGS LÄN</t>
        </is>
      </c>
      <c r="G884" t="inlineStr">
        <is>
          <t>LJUNGBY</t>
        </is>
      </c>
      <c r="I884" t="n">
        <v>0.7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23160-2023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45075</v>
      </c>
      <c r="E885" s="1" t="n">
        <v>46311</v>
      </c>
      <c r="F885" t="inlineStr">
        <is>
          <t>KRONOBERGS LÄN</t>
        </is>
      </c>
      <c r="G885" t="inlineStr">
        <is>
          <t>LJUNGBY</t>
        </is>
      </c>
      <c r="I885" t="n">
        <v>3.6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58781-2024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45635</v>
      </c>
      <c r="E886" s="1" t="n">
        <v>46311</v>
      </c>
      <c r="F886" t="inlineStr">
        <is>
          <t>KRONOBERGS LÄN</t>
        </is>
      </c>
      <c r="G886" t="inlineStr">
        <is>
          <t>LJUNGBY</t>
        </is>
      </c>
      <c r="I886" t="n">
        <v>0.8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57632-2025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45981</v>
      </c>
      <c r="E887" s="1" t="n">
        <v>46311</v>
      </c>
      <c r="F887" t="inlineStr">
        <is>
          <t>KRONOBERGS LÄN</t>
        </is>
      </c>
      <c r="G887" t="inlineStr">
        <is>
          <t>LJUNGBY</t>
        </is>
      </c>
      <c r="I887" t="n">
        <v>1.3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32869-2026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46244</v>
      </c>
      <c r="E888" s="1" t="n">
        <v>46311</v>
      </c>
      <c r="F888" t="inlineStr">
        <is>
          <t>KRONOBERGS LÄN</t>
        </is>
      </c>
      <c r="G888" t="inlineStr">
        <is>
          <t>LJUNGBY</t>
        </is>
      </c>
      <c r="I888" t="n">
        <v>3.7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39076-2026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46287</v>
      </c>
      <c r="E889" s="1" t="n">
        <v>46311</v>
      </c>
      <c r="F889" t="inlineStr">
        <is>
          <t>KRONOBERGS LÄN</t>
        </is>
      </c>
      <c r="G889" t="inlineStr">
        <is>
          <t>LJUNGBY</t>
        </is>
      </c>
      <c r="I889" t="n">
        <v>1.2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32843-2026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46244</v>
      </c>
      <c r="E890" s="1" t="n">
        <v>46311</v>
      </c>
      <c r="F890" t="inlineStr">
        <is>
          <t>KRONOBERGS LÄN</t>
        </is>
      </c>
      <c r="G890" t="inlineStr">
        <is>
          <t>LJUNGBY</t>
        </is>
      </c>
      <c r="I890" t="n">
        <v>3.2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10697-2025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45722</v>
      </c>
      <c r="E891" s="1" t="n">
        <v>46311</v>
      </c>
      <c r="F891" t="inlineStr">
        <is>
          <t>KRONOBERGS LÄN</t>
        </is>
      </c>
      <c r="G891" t="inlineStr">
        <is>
          <t>LJUNGBY</t>
        </is>
      </c>
      <c r="I891" t="n">
        <v>0.3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59778-2024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45639</v>
      </c>
      <c r="E892" s="1" t="n">
        <v>46311</v>
      </c>
      <c r="F892" t="inlineStr">
        <is>
          <t>KRONOBERGS LÄN</t>
        </is>
      </c>
      <c r="G892" t="inlineStr">
        <is>
          <t>LJUNGBY</t>
        </is>
      </c>
      <c r="I892" t="n">
        <v>1.2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33475-2026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46246</v>
      </c>
      <c r="E893" s="1" t="n">
        <v>46311</v>
      </c>
      <c r="F893" t="inlineStr">
        <is>
          <t>KRONOBERGS LÄN</t>
        </is>
      </c>
      <c r="G893" t="inlineStr">
        <is>
          <t>LJUNGBY</t>
        </is>
      </c>
      <c r="I893" t="n">
        <v>0.7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37320-2023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45156</v>
      </c>
      <c r="E894" s="1" t="n">
        <v>46311</v>
      </c>
      <c r="F894" t="inlineStr">
        <is>
          <t>KRONOBERGS LÄN</t>
        </is>
      </c>
      <c r="G894" t="inlineStr">
        <is>
          <t>LJUNGBY</t>
        </is>
      </c>
      <c r="I894" t="n">
        <v>0.4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39091-2023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45164</v>
      </c>
      <c r="E895" s="1" t="n">
        <v>46311</v>
      </c>
      <c r="F895" t="inlineStr">
        <is>
          <t>KRONOBERGS LÄN</t>
        </is>
      </c>
      <c r="G895" t="inlineStr">
        <is>
          <t>LJUNGBY</t>
        </is>
      </c>
      <c r="I895" t="n">
        <v>0.7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31592-2026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46224</v>
      </c>
      <c r="E896" s="1" t="n">
        <v>46311</v>
      </c>
      <c r="F896" t="inlineStr">
        <is>
          <t>KRONOBERGS LÄN</t>
        </is>
      </c>
      <c r="G896" t="inlineStr">
        <is>
          <t>LJUNGBY</t>
        </is>
      </c>
      <c r="I896" t="n">
        <v>2.2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17256-2026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46119</v>
      </c>
      <c r="E897" s="1" t="n">
        <v>46311</v>
      </c>
      <c r="F897" t="inlineStr">
        <is>
          <t>KRONOBERGS LÄN</t>
        </is>
      </c>
      <c r="G897" t="inlineStr">
        <is>
          <t>LJUNGBY</t>
        </is>
      </c>
      <c r="H897" t="inlineStr">
        <is>
          <t>Sveaskog</t>
        </is>
      </c>
      <c r="I897" t="n">
        <v>5.1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38983-2026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46286</v>
      </c>
      <c r="E898" s="1" t="n">
        <v>46311</v>
      </c>
      <c r="F898" t="inlineStr">
        <is>
          <t>KRONOBERGS LÄN</t>
        </is>
      </c>
      <c r="G898" t="inlineStr">
        <is>
          <t>LJUNGBY</t>
        </is>
      </c>
      <c r="I898" t="n">
        <v>3.7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38987-2026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46286</v>
      </c>
      <c r="E899" s="1" t="n">
        <v>46311</v>
      </c>
      <c r="F899" t="inlineStr">
        <is>
          <t>KRONOBERGS LÄN</t>
        </is>
      </c>
      <c r="G899" t="inlineStr">
        <is>
          <t>LJUNGBY</t>
        </is>
      </c>
      <c r="I899" t="n">
        <v>1.3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63354-2021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44508</v>
      </c>
      <c r="E900" s="1" t="n">
        <v>46311</v>
      </c>
      <c r="F900" t="inlineStr">
        <is>
          <t>KRONOBERGS LÄN</t>
        </is>
      </c>
      <c r="G900" t="inlineStr">
        <is>
          <t>LJUNGBY</t>
        </is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12513-2025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45730</v>
      </c>
      <c r="E901" s="1" t="n">
        <v>46311</v>
      </c>
      <c r="F901" t="inlineStr">
        <is>
          <t>KRONOBERGS LÄN</t>
        </is>
      </c>
      <c r="G901" t="inlineStr">
        <is>
          <t>LJUNGBY</t>
        </is>
      </c>
      <c r="I901" t="n">
        <v>3.2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57633-2025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45981</v>
      </c>
      <c r="E902" s="1" t="n">
        <v>46311</v>
      </c>
      <c r="F902" t="inlineStr">
        <is>
          <t>KRONOBERGS LÄN</t>
        </is>
      </c>
      <c r="G902" t="inlineStr">
        <is>
          <t>LJUNGBY</t>
        </is>
      </c>
      <c r="I902" t="n">
        <v>1.2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21406-2024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45441</v>
      </c>
      <c r="E903" s="1" t="n">
        <v>46311</v>
      </c>
      <c r="F903" t="inlineStr">
        <is>
          <t>KRONOBERGS LÄN</t>
        </is>
      </c>
      <c r="G903" t="inlineStr">
        <is>
          <t>LJUNGBY</t>
        </is>
      </c>
      <c r="I903" t="n">
        <v>1.3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58319-2025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45985</v>
      </c>
      <c r="E904" s="1" t="n">
        <v>46311</v>
      </c>
      <c r="F904" t="inlineStr">
        <is>
          <t>KRONOBERGS LÄN</t>
        </is>
      </c>
      <c r="G904" t="inlineStr">
        <is>
          <t>LJUNGBY</t>
        </is>
      </c>
      <c r="I904" t="n">
        <v>7.9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33224-2026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46246</v>
      </c>
      <c r="E905" s="1" t="n">
        <v>46311</v>
      </c>
      <c r="F905" t="inlineStr">
        <is>
          <t>KRONOBERGS LÄN</t>
        </is>
      </c>
      <c r="G905" t="inlineStr">
        <is>
          <t>LJUNGBY</t>
        </is>
      </c>
      <c r="I905" t="n">
        <v>3.5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39535-2026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46289</v>
      </c>
      <c r="E906" s="1" t="n">
        <v>46311</v>
      </c>
      <c r="F906" t="inlineStr">
        <is>
          <t>KRONOBERGS LÄN</t>
        </is>
      </c>
      <c r="G906" t="inlineStr">
        <is>
          <t>LJUNGBY</t>
        </is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42686-2023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45181</v>
      </c>
      <c r="E907" s="1" t="n">
        <v>46311</v>
      </c>
      <c r="F907" t="inlineStr">
        <is>
          <t>KRONOBERGS LÄN</t>
        </is>
      </c>
      <c r="G907" t="inlineStr">
        <is>
          <t>LJUNGBY</t>
        </is>
      </c>
      <c r="I907" t="n">
        <v>3.4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57206-2024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45629</v>
      </c>
      <c r="E908" s="1" t="n">
        <v>46311</v>
      </c>
      <c r="F908" t="inlineStr">
        <is>
          <t>KRONOBERGS LÄN</t>
        </is>
      </c>
      <c r="G908" t="inlineStr">
        <is>
          <t>LJUNGBY</t>
        </is>
      </c>
      <c r="I908" t="n">
        <v>1.3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36373-2024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45534</v>
      </c>
      <c r="E909" s="1" t="n">
        <v>46311</v>
      </c>
      <c r="F909" t="inlineStr">
        <is>
          <t>KRONOBERGS LÄN</t>
        </is>
      </c>
      <c r="G909" t="inlineStr">
        <is>
          <t>LJUNGBY</t>
        </is>
      </c>
      <c r="I909" t="n">
        <v>1.4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8245-2025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45708</v>
      </c>
      <c r="E910" s="1" t="n">
        <v>46311</v>
      </c>
      <c r="F910" t="inlineStr">
        <is>
          <t>KRONOBERGS LÄN</t>
        </is>
      </c>
      <c r="G910" t="inlineStr">
        <is>
          <t>LJUNGBY</t>
        </is>
      </c>
      <c r="I910" t="n">
        <v>5.7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49833-2025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45940</v>
      </c>
      <c r="E911" s="1" t="n">
        <v>46311</v>
      </c>
      <c r="F911" t="inlineStr">
        <is>
          <t>KRONOBERGS LÄN</t>
        </is>
      </c>
      <c r="G911" t="inlineStr">
        <is>
          <t>LJUNGBY</t>
        </is>
      </c>
      <c r="I911" t="n">
        <v>0.9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5368-2023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44959</v>
      </c>
      <c r="E912" s="1" t="n">
        <v>46311</v>
      </c>
      <c r="F912" t="inlineStr">
        <is>
          <t>KRONOBERGS LÄN</t>
        </is>
      </c>
      <c r="G912" t="inlineStr">
        <is>
          <t>LJUNGBY</t>
        </is>
      </c>
      <c r="H912" t="inlineStr">
        <is>
          <t>Sveaskog</t>
        </is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59170-2025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45988</v>
      </c>
      <c r="E913" s="1" t="n">
        <v>46311</v>
      </c>
      <c r="F913" t="inlineStr">
        <is>
          <t>KRONOBERGS LÄN</t>
        </is>
      </c>
      <c r="G913" t="inlineStr">
        <is>
          <t>LJUNGBY</t>
        </is>
      </c>
      <c r="I913" t="n">
        <v>3.7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59497-2025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45989</v>
      </c>
      <c r="E914" s="1" t="n">
        <v>46311</v>
      </c>
      <c r="F914" t="inlineStr">
        <is>
          <t>KRONOBERGS LÄN</t>
        </is>
      </c>
      <c r="G914" t="inlineStr">
        <is>
          <t>LJUNGBY</t>
        </is>
      </c>
      <c r="I914" t="n">
        <v>0.8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59813-2025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45992</v>
      </c>
      <c r="E915" s="1" t="n">
        <v>46311</v>
      </c>
      <c r="F915" t="inlineStr">
        <is>
          <t>KRONOBERGS LÄN</t>
        </is>
      </c>
      <c r="G915" t="inlineStr">
        <is>
          <t>LJUNGBY</t>
        </is>
      </c>
      <c r="I915" t="n">
        <v>6.4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59778-2025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45992</v>
      </c>
      <c r="E916" s="1" t="n">
        <v>46311</v>
      </c>
      <c r="F916" t="inlineStr">
        <is>
          <t>KRONOBERGS LÄN</t>
        </is>
      </c>
      <c r="G916" t="inlineStr">
        <is>
          <t>LJUNGBY</t>
        </is>
      </c>
      <c r="I916" t="n">
        <v>3.5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40338-2026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46294</v>
      </c>
      <c r="E917" s="1" t="n">
        <v>46311</v>
      </c>
      <c r="F917" t="inlineStr">
        <is>
          <t>KRONOBERGS LÄN</t>
        </is>
      </c>
      <c r="G917" t="inlineStr">
        <is>
          <t>LJUNGBY</t>
        </is>
      </c>
      <c r="I917" t="n">
        <v>1.7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21805-2025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45783</v>
      </c>
      <c r="E918" s="1" t="n">
        <v>46311</v>
      </c>
      <c r="F918" t="inlineStr">
        <is>
          <t>KRONOBERGS LÄN</t>
        </is>
      </c>
      <c r="G918" t="inlineStr">
        <is>
          <t>LJUNGBY</t>
        </is>
      </c>
      <c r="I918" t="n">
        <v>0.6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21807-2025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45783</v>
      </c>
      <c r="E919" s="1" t="n">
        <v>46311</v>
      </c>
      <c r="F919" t="inlineStr">
        <is>
          <t>KRONOBERGS LÄN</t>
        </is>
      </c>
      <c r="G919" t="inlineStr">
        <is>
          <t>LJUNGBY</t>
        </is>
      </c>
      <c r="I919" t="n">
        <v>0.8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21809-2025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45783</v>
      </c>
      <c r="E920" s="1" t="n">
        <v>46311</v>
      </c>
      <c r="F920" t="inlineStr">
        <is>
          <t>KRONOBERGS LÄN</t>
        </is>
      </c>
      <c r="G920" t="inlineStr">
        <is>
          <t>LJUNGBY</t>
        </is>
      </c>
      <c r="I920" t="n">
        <v>0.6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59604-2025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45992</v>
      </c>
      <c r="E921" s="1" t="n">
        <v>46311</v>
      </c>
      <c r="F921" t="inlineStr">
        <is>
          <t>KRONOBERGS LÄN</t>
        </is>
      </c>
      <c r="G921" t="inlineStr">
        <is>
          <t>LJUNGBY</t>
        </is>
      </c>
      <c r="I921" t="n">
        <v>0.5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21813-2025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45783</v>
      </c>
      <c r="E922" s="1" t="n">
        <v>46311</v>
      </c>
      <c r="F922" t="inlineStr">
        <is>
          <t>KRONOBERGS LÄN</t>
        </is>
      </c>
      <c r="G922" t="inlineStr">
        <is>
          <t>LJUNGBY</t>
        </is>
      </c>
      <c r="I922" t="n">
        <v>0.6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21816-2025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45783</v>
      </c>
      <c r="E923" s="1" t="n">
        <v>46311</v>
      </c>
      <c r="F923" t="inlineStr">
        <is>
          <t>KRONOBERGS LÄN</t>
        </is>
      </c>
      <c r="G923" t="inlineStr">
        <is>
          <t>LJUNGBY</t>
        </is>
      </c>
      <c r="I923" t="n">
        <v>0.3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38148-2023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45161</v>
      </c>
      <c r="E924" s="1" t="n">
        <v>46311</v>
      </c>
      <c r="F924" t="inlineStr">
        <is>
          <t>KRONOBERGS LÄN</t>
        </is>
      </c>
      <c r="G924" t="inlineStr">
        <is>
          <t>LJUNGBY</t>
        </is>
      </c>
      <c r="I924" t="n">
        <v>2.9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15673-2023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45021</v>
      </c>
      <c r="E925" s="1" t="n">
        <v>46311</v>
      </c>
      <c r="F925" t="inlineStr">
        <is>
          <t>KRONOBERGS LÄN</t>
        </is>
      </c>
      <c r="G925" t="inlineStr">
        <is>
          <t>LJUNGBY</t>
        </is>
      </c>
      <c r="I925" t="n">
        <v>2.5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39976-2026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46292</v>
      </c>
      <c r="E926" s="1" t="n">
        <v>46311</v>
      </c>
      <c r="F926" t="inlineStr">
        <is>
          <t>KRONOBERGS LÄN</t>
        </is>
      </c>
      <c r="G926" t="inlineStr">
        <is>
          <t>LJUNGBY</t>
        </is>
      </c>
      <c r="I926" t="n">
        <v>1.5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21819-2025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45783</v>
      </c>
      <c r="E927" s="1" t="n">
        <v>46311</v>
      </c>
      <c r="F927" t="inlineStr">
        <is>
          <t>KRONOBERGS LÄN</t>
        </is>
      </c>
      <c r="G927" t="inlineStr">
        <is>
          <t>LJUNGBY</t>
        </is>
      </c>
      <c r="I927" t="n">
        <v>0.6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8251-2025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45708</v>
      </c>
      <c r="E928" s="1" t="n">
        <v>46311</v>
      </c>
      <c r="F928" t="inlineStr">
        <is>
          <t>KRONOBERGS LÄN</t>
        </is>
      </c>
      <c r="G928" t="inlineStr">
        <is>
          <t>LJUNGBY</t>
        </is>
      </c>
      <c r="I928" t="n">
        <v>1.5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60305-2025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45994</v>
      </c>
      <c r="E929" s="1" t="n">
        <v>46311</v>
      </c>
      <c r="F929" t="inlineStr">
        <is>
          <t>KRONOBERGS LÄN</t>
        </is>
      </c>
      <c r="G929" t="inlineStr">
        <is>
          <t>LJUNGBY</t>
        </is>
      </c>
      <c r="I929" t="n">
        <v>5.6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60480-2025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45995</v>
      </c>
      <c r="E930" s="1" t="n">
        <v>46311</v>
      </c>
      <c r="F930" t="inlineStr">
        <is>
          <t>KRONOBERGS LÄN</t>
        </is>
      </c>
      <c r="G930" t="inlineStr">
        <is>
          <t>LJUNGBY</t>
        </is>
      </c>
      <c r="I930" t="n">
        <v>1.2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60068-2025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45993</v>
      </c>
      <c r="E931" s="1" t="n">
        <v>46311</v>
      </c>
      <c r="F931" t="inlineStr">
        <is>
          <t>KRONOBERGS LÄN</t>
        </is>
      </c>
      <c r="G931" t="inlineStr">
        <is>
          <t>LJUNGBY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33839-2026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46251</v>
      </c>
      <c r="E932" s="1" t="n">
        <v>46311</v>
      </c>
      <c r="F932" t="inlineStr">
        <is>
          <t>KRONOBERGS LÄN</t>
        </is>
      </c>
      <c r="G932" t="inlineStr">
        <is>
          <t>LJUNGBY</t>
        </is>
      </c>
      <c r="I932" t="n">
        <v>1.7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3782-2025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45681</v>
      </c>
      <c r="E933" s="1" t="n">
        <v>46311</v>
      </c>
      <c r="F933" t="inlineStr">
        <is>
          <t>KRONOBERGS LÄN</t>
        </is>
      </c>
      <c r="G933" t="inlineStr">
        <is>
          <t>LJUNGBY</t>
        </is>
      </c>
      <c r="I933" t="n">
        <v>1.7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56799-2024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45628</v>
      </c>
      <c r="E934" s="1" t="n">
        <v>46311</v>
      </c>
      <c r="F934" t="inlineStr">
        <is>
          <t>KRONOBERGS LÄN</t>
        </is>
      </c>
      <c r="G934" t="inlineStr">
        <is>
          <t>LJUNGBY</t>
        </is>
      </c>
      <c r="I934" t="n">
        <v>3.2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62206-2025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46006</v>
      </c>
      <c r="E935" s="1" t="n">
        <v>46311</v>
      </c>
      <c r="F935" t="inlineStr">
        <is>
          <t>KRONOBERGS LÄN</t>
        </is>
      </c>
      <c r="G935" t="inlineStr">
        <is>
          <t>LJUNGBY</t>
        </is>
      </c>
      <c r="I935" t="n">
        <v>1.5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40757-2026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46296</v>
      </c>
      <c r="E936" s="1" t="n">
        <v>46311</v>
      </c>
      <c r="F936" t="inlineStr">
        <is>
          <t>KRONOBERGS LÄN</t>
        </is>
      </c>
      <c r="G936" t="inlineStr">
        <is>
          <t>LJUNGBY</t>
        </is>
      </c>
      <c r="I936" t="n">
        <v>1.1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40760-2026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46296</v>
      </c>
      <c r="E937" s="1" t="n">
        <v>46311</v>
      </c>
      <c r="F937" t="inlineStr">
        <is>
          <t>KRONOBERGS LÄN</t>
        </is>
      </c>
      <c r="G937" t="inlineStr">
        <is>
          <t>LJUNGBY</t>
        </is>
      </c>
      <c r="I937" t="n">
        <v>0.3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62249-2025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46006</v>
      </c>
      <c r="E938" s="1" t="n">
        <v>46311</v>
      </c>
      <c r="F938" t="inlineStr">
        <is>
          <t>KRONOBERGS LÄN</t>
        </is>
      </c>
      <c r="G938" t="inlineStr">
        <is>
          <t>LJUNGBY</t>
        </is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62253-2025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46006</v>
      </c>
      <c r="E939" s="1" t="n">
        <v>46311</v>
      </c>
      <c r="F939" t="inlineStr">
        <is>
          <t>KRONOBERGS LÄN</t>
        </is>
      </c>
      <c r="G939" t="inlineStr">
        <is>
          <t>LJUNGBY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62670-2025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46008</v>
      </c>
      <c r="E940" s="1" t="n">
        <v>46311</v>
      </c>
      <c r="F940" t="inlineStr">
        <is>
          <t>KRONOBERGS LÄN</t>
        </is>
      </c>
      <c r="G940" t="inlineStr">
        <is>
          <t>LJUNGBY</t>
        </is>
      </c>
      <c r="I940" t="n">
        <v>1.3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62672-2025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46008</v>
      </c>
      <c r="E941" s="1" t="n">
        <v>46311</v>
      </c>
      <c r="F941" t="inlineStr">
        <is>
          <t>KRONOBERGS LÄN</t>
        </is>
      </c>
      <c r="G941" t="inlineStr">
        <is>
          <t>LJUNGBY</t>
        </is>
      </c>
      <c r="I941" t="n">
        <v>0.5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11356-2024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45372</v>
      </c>
      <c r="E942" s="1" t="n">
        <v>46311</v>
      </c>
      <c r="F942" t="inlineStr">
        <is>
          <t>KRONOBERGS LÄN</t>
        </is>
      </c>
      <c r="G942" t="inlineStr">
        <is>
          <t>LJUNGBY</t>
        </is>
      </c>
      <c r="I942" t="n">
        <v>1.9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34300-2026</t>
        </is>
      </c>
      <c r="B943" t="inlineStr">
        <is>
          <t>avverkningsanmälan</t>
        </is>
      </c>
      <c r="C943" t="inlineStr">
        <is>
          <t>Avverkning för att bevara och utveckla /försöksver</t>
        </is>
      </c>
      <c r="D943" s="1" t="n">
        <v>46253</v>
      </c>
      <c r="E943" s="1" t="n">
        <v>46311</v>
      </c>
      <c r="F943" t="inlineStr">
        <is>
          <t>KRONOBERGS LÄN</t>
        </is>
      </c>
      <c r="G943" t="inlineStr">
        <is>
          <t>LJUNGBY</t>
        </is>
      </c>
      <c r="I943" t="n">
        <v>2.9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13020-2025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45734</v>
      </c>
      <c r="E944" s="1" t="n">
        <v>46311</v>
      </c>
      <c r="F944" t="inlineStr">
        <is>
          <t>KRONOBERGS LÄN</t>
        </is>
      </c>
      <c r="G944" t="inlineStr">
        <is>
          <t>LJUNGBY</t>
        </is>
      </c>
      <c r="I944" t="n">
        <v>1.3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34085-2026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46252</v>
      </c>
      <c r="E945" s="1" t="n">
        <v>46311</v>
      </c>
      <c r="F945" t="inlineStr">
        <is>
          <t>KRONOBERGS LÄN</t>
        </is>
      </c>
      <c r="G945" t="inlineStr">
        <is>
          <t>LJUNGBY</t>
        </is>
      </c>
      <c r="I945" t="n">
        <v>1.6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22432-2026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46154</v>
      </c>
      <c r="E946" s="1" t="n">
        <v>46311</v>
      </c>
      <c r="F946" t="inlineStr">
        <is>
          <t>KRONOBERGS LÄN</t>
        </is>
      </c>
      <c r="G946" t="inlineStr">
        <is>
          <t>LJUNGBY</t>
        </is>
      </c>
      <c r="I946" t="n">
        <v>1.5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62266-2025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46006</v>
      </c>
      <c r="E947" s="1" t="n">
        <v>46311</v>
      </c>
      <c r="F947" t="inlineStr">
        <is>
          <t>KRONOBERGS LÄN</t>
        </is>
      </c>
      <c r="G947" t="inlineStr">
        <is>
          <t>LJUNGBY</t>
        </is>
      </c>
      <c r="I947" t="n">
        <v>1.3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22433-2026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46154</v>
      </c>
      <c r="E948" s="1" t="n">
        <v>46311</v>
      </c>
      <c r="F948" t="inlineStr">
        <is>
          <t>KRONOBERGS LÄN</t>
        </is>
      </c>
      <c r="G948" t="inlineStr">
        <is>
          <t>LJUNGBY</t>
        </is>
      </c>
      <c r="I948" t="n">
        <v>4.1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26230-2026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46182</v>
      </c>
      <c r="E949" s="1" t="n">
        <v>46311</v>
      </c>
      <c r="F949" t="inlineStr">
        <is>
          <t>KRONOBERGS LÄN</t>
        </is>
      </c>
      <c r="G949" t="inlineStr">
        <is>
          <t>LJUNGBY</t>
        </is>
      </c>
      <c r="I949" t="n">
        <v>1.5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32044-2024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45510</v>
      </c>
      <c r="E950" s="1" t="n">
        <v>46311</v>
      </c>
      <c r="F950" t="inlineStr">
        <is>
          <t>KRONOBERGS LÄN</t>
        </is>
      </c>
      <c r="G950" t="inlineStr">
        <is>
          <t>LJUNGBY</t>
        </is>
      </c>
      <c r="I950" t="n">
        <v>4.2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34395-2026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46254</v>
      </c>
      <c r="E951" s="1" t="n">
        <v>46311</v>
      </c>
      <c r="F951" t="inlineStr">
        <is>
          <t>KRONOBERGS LÄN</t>
        </is>
      </c>
      <c r="G951" t="inlineStr">
        <is>
          <t>LJUNGBY</t>
        </is>
      </c>
      <c r="I951" t="n">
        <v>2.2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62668-2025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46008</v>
      </c>
      <c r="E952" s="1" t="n">
        <v>46311</v>
      </c>
      <c r="F952" t="inlineStr">
        <is>
          <t>KRONOBERGS LÄN</t>
        </is>
      </c>
      <c r="G952" t="inlineStr">
        <is>
          <t>LJUNGBY</t>
        </is>
      </c>
      <c r="I952" t="n">
        <v>0.3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17145-2025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45756</v>
      </c>
      <c r="E953" s="1" t="n">
        <v>46311</v>
      </c>
      <c r="F953" t="inlineStr">
        <is>
          <t>KRONOBERGS LÄN</t>
        </is>
      </c>
      <c r="G953" t="inlineStr">
        <is>
          <t>LJUNGBY</t>
        </is>
      </c>
      <c r="I953" t="n">
        <v>2.8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39359-2023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45166</v>
      </c>
      <c r="E954" s="1" t="n">
        <v>46311</v>
      </c>
      <c r="F954" t="inlineStr">
        <is>
          <t>KRONOBERGS LÄN</t>
        </is>
      </c>
      <c r="G954" t="inlineStr">
        <is>
          <t>LJUNGBY</t>
        </is>
      </c>
      <c r="I954" t="n">
        <v>2.9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13892-2026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46098</v>
      </c>
      <c r="E955" s="1" t="n">
        <v>46311</v>
      </c>
      <c r="F955" t="inlineStr">
        <is>
          <t>KRONOBERGS LÄN</t>
        </is>
      </c>
      <c r="G955" t="inlineStr">
        <is>
          <t>LJUNGBY</t>
        </is>
      </c>
      <c r="I955" t="n">
        <v>1.1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56877-2024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45628</v>
      </c>
      <c r="E956" s="1" t="n">
        <v>46311</v>
      </c>
      <c r="F956" t="inlineStr">
        <is>
          <t>KRONOBERGS LÄN</t>
        </is>
      </c>
      <c r="G956" t="inlineStr">
        <is>
          <t>LJUNGBY</t>
        </is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23398-2025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45792</v>
      </c>
      <c r="E957" s="1" t="n">
        <v>46311</v>
      </c>
      <c r="F957" t="inlineStr">
        <is>
          <t>KRONOBERGS LÄN</t>
        </is>
      </c>
      <c r="G957" t="inlineStr">
        <is>
          <t>LJUNGBY</t>
        </is>
      </c>
      <c r="I957" t="n">
        <v>0.4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41035-2026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46298</v>
      </c>
      <c r="E958" s="1" t="n">
        <v>46311</v>
      </c>
      <c r="F958" t="inlineStr">
        <is>
          <t>KRONOBERGS LÄN</t>
        </is>
      </c>
      <c r="G958" t="inlineStr">
        <is>
          <t>LJUNGBY</t>
        </is>
      </c>
      <c r="I958" t="n">
        <v>2.6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39948-2026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46290</v>
      </c>
      <c r="E959" s="1" t="n">
        <v>46311</v>
      </c>
      <c r="F959" t="inlineStr">
        <is>
          <t>KRONOBERGS LÄN</t>
        </is>
      </c>
      <c r="G959" t="inlineStr">
        <is>
          <t>LJUNGBY</t>
        </is>
      </c>
      <c r="I959" t="n">
        <v>1.9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32042-2024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45510</v>
      </c>
      <c r="E960" s="1" t="n">
        <v>46311</v>
      </c>
      <c r="F960" t="inlineStr">
        <is>
          <t>KRONOBERGS LÄN</t>
        </is>
      </c>
      <c r="G960" t="inlineStr">
        <is>
          <t>LJUNGBY</t>
        </is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63656-2025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46014</v>
      </c>
      <c r="E961" s="1" t="n">
        <v>46311</v>
      </c>
      <c r="F961" t="inlineStr">
        <is>
          <t>KRONOBERGS LÄN</t>
        </is>
      </c>
      <c r="G961" t="inlineStr">
        <is>
          <t>LJUNGBY</t>
        </is>
      </c>
      <c r="I961" t="n">
        <v>3.5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24089-2025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45796</v>
      </c>
      <c r="E962" s="1" t="n">
        <v>46311</v>
      </c>
      <c r="F962" t="inlineStr">
        <is>
          <t>KRONOBERGS LÄN</t>
        </is>
      </c>
      <c r="G962" t="inlineStr">
        <is>
          <t>LJUNGBY</t>
        </is>
      </c>
      <c r="H962" t="inlineStr">
        <is>
          <t>Sveaskog</t>
        </is>
      </c>
      <c r="I962" t="n">
        <v>2.3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24108-2025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45796</v>
      </c>
      <c r="E963" s="1" t="n">
        <v>46311</v>
      </c>
      <c r="F963" t="inlineStr">
        <is>
          <t>KRONOBERGS LÄN</t>
        </is>
      </c>
      <c r="G963" t="inlineStr">
        <is>
          <t>LJUNGBY</t>
        </is>
      </c>
      <c r="H963" t="inlineStr">
        <is>
          <t>Sveaskog</t>
        </is>
      </c>
      <c r="I963" t="n">
        <v>5.9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63878-2025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46020</v>
      </c>
      <c r="E964" s="1" t="n">
        <v>46311</v>
      </c>
      <c r="F964" t="inlineStr">
        <is>
          <t>KRONOBERGS LÄN</t>
        </is>
      </c>
      <c r="G964" t="inlineStr">
        <is>
          <t>LJUNGBY</t>
        </is>
      </c>
      <c r="I964" t="n">
        <v>1.6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49541-2024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45596</v>
      </c>
      <c r="E965" s="1" t="n">
        <v>46311</v>
      </c>
      <c r="F965" t="inlineStr">
        <is>
          <t>KRONOBERGS LÄN</t>
        </is>
      </c>
      <c r="G965" t="inlineStr">
        <is>
          <t>LJUNGBY</t>
        </is>
      </c>
      <c r="I965" t="n">
        <v>1.1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34985-2026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46259</v>
      </c>
      <c r="E966" s="1" t="n">
        <v>46311</v>
      </c>
      <c r="F966" t="inlineStr">
        <is>
          <t>KRONOBERGS LÄN</t>
        </is>
      </c>
      <c r="G966" t="inlineStr">
        <is>
          <t>LJUNGBY</t>
        </is>
      </c>
      <c r="I966" t="n">
        <v>0.8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23808-2025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45793</v>
      </c>
      <c r="E967" s="1" t="n">
        <v>46311</v>
      </c>
      <c r="F967" t="inlineStr">
        <is>
          <t>KRONOBERGS LÄN</t>
        </is>
      </c>
      <c r="G967" t="inlineStr">
        <is>
          <t>LJUNGBY</t>
        </is>
      </c>
      <c r="I967" t="n">
        <v>5.9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155-2026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46024</v>
      </c>
      <c r="E968" s="1" t="n">
        <v>46311</v>
      </c>
      <c r="F968" t="inlineStr">
        <is>
          <t>KRONOBERGS LÄN</t>
        </is>
      </c>
      <c r="G968" t="inlineStr">
        <is>
          <t>LJUNGBY</t>
        </is>
      </c>
      <c r="I968" t="n">
        <v>5.8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24084-2025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45796</v>
      </c>
      <c r="E969" s="1" t="n">
        <v>46311</v>
      </c>
      <c r="F969" t="inlineStr">
        <is>
          <t>KRONOBERGS LÄN</t>
        </is>
      </c>
      <c r="G969" t="inlineStr">
        <is>
          <t>LJUNGBY</t>
        </is>
      </c>
      <c r="H969" t="inlineStr">
        <is>
          <t>Sveaskog</t>
        </is>
      </c>
      <c r="I969" t="n">
        <v>1.7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24097-2025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45796</v>
      </c>
      <c r="E970" s="1" t="n">
        <v>46311</v>
      </c>
      <c r="F970" t="inlineStr">
        <is>
          <t>KRONOBERGS LÄN</t>
        </is>
      </c>
      <c r="G970" t="inlineStr">
        <is>
          <t>LJUNGBY</t>
        </is>
      </c>
      <c r="H970" t="inlineStr">
        <is>
          <t>Sveaskog</t>
        </is>
      </c>
      <c r="I970" t="n">
        <v>2.7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49609-2024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45596</v>
      </c>
      <c r="E971" s="1" t="n">
        <v>46311</v>
      </c>
      <c r="F971" t="inlineStr">
        <is>
          <t>KRONOBERGS LÄN</t>
        </is>
      </c>
      <c r="G971" t="inlineStr">
        <is>
          <t>LJUNGBY</t>
        </is>
      </c>
      <c r="I971" t="n">
        <v>1.4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59969-2025</t>
        </is>
      </c>
      <c r="B972" t="inlineStr">
        <is>
          <t>avverkningsanmälan</t>
        </is>
      </c>
      <c r="C972" t="inlineStr">
        <is>
          <t>Avverkning för att bevara och utveckla /försöksver</t>
        </is>
      </c>
      <c r="D972" s="1" t="n">
        <v>45993</v>
      </c>
      <c r="E972" s="1" t="n">
        <v>46311</v>
      </c>
      <c r="F972" t="inlineStr">
        <is>
          <t>KRONOBERGS LÄN</t>
        </is>
      </c>
      <c r="G972" t="inlineStr">
        <is>
          <t>LJUNGBY</t>
        </is>
      </c>
      <c r="I972" t="n">
        <v>1.4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41669-2026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46301</v>
      </c>
      <c r="E973" s="1" t="n">
        <v>46311</v>
      </c>
      <c r="F973" t="inlineStr">
        <is>
          <t>KRONOBERGS LÄN</t>
        </is>
      </c>
      <c r="G973" t="inlineStr">
        <is>
          <t>LJUNGBY</t>
        </is>
      </c>
      <c r="I973" t="n">
        <v>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857-2026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46030</v>
      </c>
      <c r="E974" s="1" t="n">
        <v>46311</v>
      </c>
      <c r="F974" t="inlineStr">
        <is>
          <t>KRONOBERGS LÄN</t>
        </is>
      </c>
      <c r="G974" t="inlineStr">
        <is>
          <t>LJUNGBY</t>
        </is>
      </c>
      <c r="I974" t="n">
        <v>1.3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8-2023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44927</v>
      </c>
      <c r="E975" s="1" t="n">
        <v>46311</v>
      </c>
      <c r="F975" t="inlineStr">
        <is>
          <t>KRONOBERGS LÄN</t>
        </is>
      </c>
      <c r="G975" t="inlineStr">
        <is>
          <t>LJUNGBY</t>
        </is>
      </c>
      <c r="I975" t="n">
        <v>0.8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59968-2025</t>
        </is>
      </c>
      <c r="B976" t="inlineStr">
        <is>
          <t>avverkningsanmälan</t>
        </is>
      </c>
      <c r="C976" t="inlineStr">
        <is>
          <t>Avverkning för att bevara och utveckla /försöksver</t>
        </is>
      </c>
      <c r="D976" s="1" t="n">
        <v>45993</v>
      </c>
      <c r="E976" s="1" t="n">
        <v>46311</v>
      </c>
      <c r="F976" t="inlineStr">
        <is>
          <t>KRONOBERGS LÄN</t>
        </is>
      </c>
      <c r="G976" t="inlineStr">
        <is>
          <t>LJUNGBY</t>
        </is>
      </c>
      <c r="I976" t="n">
        <v>2.7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41668-2026</t>
        </is>
      </c>
      <c r="B977" t="inlineStr">
        <is>
          <t>avverkningsanmälan</t>
        </is>
      </c>
      <c r="C977" t="inlineStr">
        <is>
          <t>Avverkning för annat ändamål</t>
        </is>
      </c>
      <c r="D977" s="1" t="n">
        <v>46302</v>
      </c>
      <c r="E977" s="1" t="n">
        <v>46311</v>
      </c>
      <c r="F977" t="inlineStr">
        <is>
          <t>KRONOBERGS LÄN</t>
        </is>
      </c>
      <c r="G977" t="inlineStr">
        <is>
          <t>LJUNGBY</t>
        </is>
      </c>
      <c r="I977" t="n">
        <v>5.6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41642-2026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46301</v>
      </c>
      <c r="E978" s="1" t="n">
        <v>46311</v>
      </c>
      <c r="F978" t="inlineStr">
        <is>
          <t>KRONOBERGS LÄN</t>
        </is>
      </c>
      <c r="G978" t="inlineStr">
        <is>
          <t>LJUNGBY</t>
        </is>
      </c>
      <c r="I978" t="n">
        <v>3.1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42275-2026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46307</v>
      </c>
      <c r="E979" s="1" t="n">
        <v>46311</v>
      </c>
      <c r="F979" t="inlineStr">
        <is>
          <t>KRONOBERGS LÄN</t>
        </is>
      </c>
      <c r="G979" t="inlineStr">
        <is>
          <t>LJUNGBY</t>
        </is>
      </c>
      <c r="I979" t="n">
        <v>0.3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42227-2026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46307</v>
      </c>
      <c r="E980" s="1" t="n">
        <v>46311</v>
      </c>
      <c r="F980" t="inlineStr">
        <is>
          <t>KRONOBERGS LÄN</t>
        </is>
      </c>
      <c r="G980" t="inlineStr">
        <is>
          <t>LJUNGBY</t>
        </is>
      </c>
      <c r="I980" t="n">
        <v>0.5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4386-2026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46045</v>
      </c>
      <c r="E981" s="1" t="n">
        <v>46311</v>
      </c>
      <c r="F981" t="inlineStr">
        <is>
          <t>KRONOBERGS LÄN</t>
        </is>
      </c>
      <c r="G981" t="inlineStr">
        <is>
          <t>LJUNGBY</t>
        </is>
      </c>
      <c r="I981" t="n">
        <v>1.2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4396-2026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46045</v>
      </c>
      <c r="E982" s="1" t="n">
        <v>46311</v>
      </c>
      <c r="F982" t="inlineStr">
        <is>
          <t>KRONOBERGS LÄN</t>
        </is>
      </c>
      <c r="G982" t="inlineStr">
        <is>
          <t>LJUNGBY</t>
        </is>
      </c>
      <c r="I982" t="n">
        <v>1.6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4392-2026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46045</v>
      </c>
      <c r="E983" s="1" t="n">
        <v>46311</v>
      </c>
      <c r="F983" t="inlineStr">
        <is>
          <t>KRONOBERGS LÄN</t>
        </is>
      </c>
      <c r="G983" t="inlineStr">
        <is>
          <t>LJUNGBY</t>
        </is>
      </c>
      <c r="I983" t="n">
        <v>1.4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4413-2026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46045</v>
      </c>
      <c r="E984" s="1" t="n">
        <v>46311</v>
      </c>
      <c r="F984" t="inlineStr">
        <is>
          <t>KRONOBERGS LÄN</t>
        </is>
      </c>
      <c r="G984" t="inlineStr">
        <is>
          <t>LJUNGBY</t>
        </is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35639-2026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46265</v>
      </c>
      <c r="E985" s="1" t="n">
        <v>46311</v>
      </c>
      <c r="F985" t="inlineStr">
        <is>
          <t>KRONOBERGS LÄN</t>
        </is>
      </c>
      <c r="G985" t="inlineStr">
        <is>
          <t>LJUNGBY</t>
        </is>
      </c>
      <c r="I985" t="n">
        <v>1.7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5531-2026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46050</v>
      </c>
      <c r="E986" s="1" t="n">
        <v>46311</v>
      </c>
      <c r="F986" t="inlineStr">
        <is>
          <t>KRONOBERGS LÄN</t>
        </is>
      </c>
      <c r="G986" t="inlineStr">
        <is>
          <t>LJUNGBY</t>
        </is>
      </c>
      <c r="I986" t="n">
        <v>0.9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5530-2026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46050</v>
      </c>
      <c r="E987" s="1" t="n">
        <v>46311</v>
      </c>
      <c r="F987" t="inlineStr">
        <is>
          <t>KRONOBERGS LÄN</t>
        </is>
      </c>
      <c r="G987" t="inlineStr">
        <is>
          <t>LJUNGBY</t>
        </is>
      </c>
      <c r="I987" t="n">
        <v>1.8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42274-2026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46307</v>
      </c>
      <c r="E988" s="1" t="n">
        <v>46311</v>
      </c>
      <c r="F988" t="inlineStr">
        <is>
          <t>KRONOBERGS LÄN</t>
        </is>
      </c>
      <c r="G988" t="inlineStr">
        <is>
          <t>LJUNGBY</t>
        </is>
      </c>
      <c r="I988" t="n">
        <v>0.5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42205-2026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46305</v>
      </c>
      <c r="E989" s="1" t="n">
        <v>46311</v>
      </c>
      <c r="F989" t="inlineStr">
        <is>
          <t>KRONOBERGS LÄN</t>
        </is>
      </c>
      <c r="G989" t="inlineStr">
        <is>
          <t>LJUNGBY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42295-2026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46307</v>
      </c>
      <c r="E990" s="1" t="n">
        <v>46311</v>
      </c>
      <c r="F990" t="inlineStr">
        <is>
          <t>KRONOBERGS LÄN</t>
        </is>
      </c>
      <c r="G990" t="inlineStr">
        <is>
          <t>LJUNGBY</t>
        </is>
      </c>
      <c r="I990" t="n">
        <v>0.8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6146-2026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46054</v>
      </c>
      <c r="E991" s="1" t="n">
        <v>46311</v>
      </c>
      <c r="F991" t="inlineStr">
        <is>
          <t>KRONOBERGS LÄN</t>
        </is>
      </c>
      <c r="G991" t="inlineStr">
        <is>
          <t>LJUNGBY</t>
        </is>
      </c>
      <c r="I991" t="n">
        <v>1.2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6149-2026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46054</v>
      </c>
      <c r="E992" s="1" t="n">
        <v>46311</v>
      </c>
      <c r="F992" t="inlineStr">
        <is>
          <t>KRONOBERGS LÄN</t>
        </is>
      </c>
      <c r="G992" t="inlineStr">
        <is>
          <t>LJUNGBY</t>
        </is>
      </c>
      <c r="I992" t="n">
        <v>2.4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35932-2026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46266</v>
      </c>
      <c r="E993" s="1" t="n">
        <v>46311</v>
      </c>
      <c r="F993" t="inlineStr">
        <is>
          <t>KRONOBERGS LÄN</t>
        </is>
      </c>
      <c r="G993" t="inlineStr">
        <is>
          <t>LJUNGBY</t>
        </is>
      </c>
      <c r="H993" t="inlineStr">
        <is>
          <t>Kyrkan</t>
        </is>
      </c>
      <c r="I993" t="n">
        <v>1.2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6147-2026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46054</v>
      </c>
      <c r="E994" s="1" t="n">
        <v>46311</v>
      </c>
      <c r="F994" t="inlineStr">
        <is>
          <t>KRONOBERGS LÄN</t>
        </is>
      </c>
      <c r="G994" t="inlineStr">
        <is>
          <t>LJUNGBY</t>
        </is>
      </c>
      <c r="I994" t="n">
        <v>0.6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42907-2026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46310</v>
      </c>
      <c r="E995" s="1" t="n">
        <v>46311</v>
      </c>
      <c r="F995" t="inlineStr">
        <is>
          <t>KRONOBERGS LÄN</t>
        </is>
      </c>
      <c r="G995" t="inlineStr">
        <is>
          <t>LJUNGBY</t>
        </is>
      </c>
      <c r="I995" t="n">
        <v>2.2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7679-2026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46059</v>
      </c>
      <c r="E996" s="1" t="n">
        <v>46311</v>
      </c>
      <c r="F996" t="inlineStr">
        <is>
          <t>KRONOBERGS LÄN</t>
        </is>
      </c>
      <c r="G996" t="inlineStr">
        <is>
          <t>LJUNGBY</t>
        </is>
      </c>
      <c r="H996" t="inlineStr">
        <is>
          <t>Kyrkan</t>
        </is>
      </c>
      <c r="I996" t="n">
        <v>2.6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7403-2026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46059</v>
      </c>
      <c r="E997" s="1" t="n">
        <v>46311</v>
      </c>
      <c r="F997" t="inlineStr">
        <is>
          <t>KRONOBERGS LÄN</t>
        </is>
      </c>
      <c r="G997" t="inlineStr">
        <is>
          <t>LJUNGBY</t>
        </is>
      </c>
      <c r="I997" t="n">
        <v>2.7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7658-2026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46062</v>
      </c>
      <c r="E998" s="1" t="n">
        <v>46311</v>
      </c>
      <c r="F998" t="inlineStr">
        <is>
          <t>KRONOBERGS LÄN</t>
        </is>
      </c>
      <c r="G998" t="inlineStr">
        <is>
          <t>LJUNGBY</t>
        </is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7401-2026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46059</v>
      </c>
      <c r="E999" s="1" t="n">
        <v>46311</v>
      </c>
      <c r="F999" t="inlineStr">
        <is>
          <t>KRONOBERGS LÄN</t>
        </is>
      </c>
      <c r="G999" t="inlineStr">
        <is>
          <t>LJUNGBY</t>
        </is>
      </c>
      <c r="I999" t="n">
        <v>0.6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8065-2026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46063</v>
      </c>
      <c r="E1000" s="1" t="n">
        <v>46311</v>
      </c>
      <c r="F1000" t="inlineStr">
        <is>
          <t>KRONOBERGS LÄN</t>
        </is>
      </c>
      <c r="G1000" t="inlineStr">
        <is>
          <t>LJUNGBY</t>
        </is>
      </c>
      <c r="I1000" t="n">
        <v>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42874-2026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46310</v>
      </c>
      <c r="E1001" s="1" t="n">
        <v>46311</v>
      </c>
      <c r="F1001" t="inlineStr">
        <is>
          <t>KRONOBERGS LÄN</t>
        </is>
      </c>
      <c r="G1001" t="inlineStr">
        <is>
          <t>LJUNGBY</t>
        </is>
      </c>
      <c r="I1001" t="n">
        <v>3.4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8054-2026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46063</v>
      </c>
      <c r="E1002" s="1" t="n">
        <v>46311</v>
      </c>
      <c r="F1002" t="inlineStr">
        <is>
          <t>KRONOBERGS LÄN</t>
        </is>
      </c>
      <c r="G1002" t="inlineStr">
        <is>
          <t>LJUNGBY</t>
        </is>
      </c>
      <c r="I1002" t="n">
        <v>0.7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8078-2026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46063</v>
      </c>
      <c r="E1003" s="1" t="n">
        <v>46311</v>
      </c>
      <c r="F1003" t="inlineStr">
        <is>
          <t>KRONOBERGS LÄN</t>
        </is>
      </c>
      <c r="G1003" t="inlineStr">
        <is>
          <t>LJUNGBY</t>
        </is>
      </c>
      <c r="I1003" t="n">
        <v>0.6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8046-2026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46063</v>
      </c>
      <c r="E1004" s="1" t="n">
        <v>46311</v>
      </c>
      <c r="F1004" t="inlineStr">
        <is>
          <t>KRONOBERGS LÄN</t>
        </is>
      </c>
      <c r="G1004" t="inlineStr">
        <is>
          <t>LJUNGBY</t>
        </is>
      </c>
      <c r="I1004" t="n">
        <v>1.5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9070-2026</t>
        </is>
      </c>
      <c r="B1005" t="inlineStr">
        <is>
          <t>avverkningsanmälan</t>
        </is>
      </c>
      <c r="C1005" t="inlineStr">
        <is>
          <t>Avverkning för annat ändamål</t>
        </is>
      </c>
      <c r="D1005" s="1" t="n">
        <v>46069</v>
      </c>
      <c r="E1005" s="1" t="n">
        <v>46311</v>
      </c>
      <c r="F1005" t="inlineStr">
        <is>
          <t>KRONOBERGS LÄN</t>
        </is>
      </c>
      <c r="G1005" t="inlineStr">
        <is>
          <t>LJUNGBY</t>
        </is>
      </c>
      <c r="H1005" t="inlineStr">
        <is>
          <t>Sveaskog</t>
        </is>
      </c>
      <c r="I1005" t="n">
        <v>0.6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36252-2026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46268</v>
      </c>
      <c r="E1006" s="1" t="n">
        <v>46311</v>
      </c>
      <c r="F1006" t="inlineStr">
        <is>
          <t>KRONOBERGS LÄN</t>
        </is>
      </c>
      <c r="G1006" t="inlineStr">
        <is>
          <t>LJUNGBY</t>
        </is>
      </c>
      <c r="I1006" t="n">
        <v>1.6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10314-2026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46076</v>
      </c>
      <c r="E1007" s="1" t="n">
        <v>46311</v>
      </c>
      <c r="F1007" t="inlineStr">
        <is>
          <t>KRONOBERGS LÄN</t>
        </is>
      </c>
      <c r="G1007" t="inlineStr">
        <is>
          <t>LJUNGBY</t>
        </is>
      </c>
      <c r="I1007" t="n">
        <v>0.7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10573-2026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46077</v>
      </c>
      <c r="E1008" s="1" t="n">
        <v>46311</v>
      </c>
      <c r="F1008" t="inlineStr">
        <is>
          <t>KRONOBERGS LÄN</t>
        </is>
      </c>
      <c r="G1008" t="inlineStr">
        <is>
          <t>LJUNGBY</t>
        </is>
      </c>
      <c r="I1008" t="n">
        <v>1.2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10711-2026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46078</v>
      </c>
      <c r="E1009" s="1" t="n">
        <v>46311</v>
      </c>
      <c r="F1009" t="inlineStr">
        <is>
          <t>KRONOBERGS LÄN</t>
        </is>
      </c>
      <c r="G1009" t="inlineStr">
        <is>
          <t>LJUNGBY</t>
        </is>
      </c>
      <c r="I1009" t="n">
        <v>5.6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13223-2025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45735</v>
      </c>
      <c r="E1010" s="1" t="n">
        <v>46311</v>
      </c>
      <c r="F1010" t="inlineStr">
        <is>
          <t>KRONOBERGS LÄN</t>
        </is>
      </c>
      <c r="G1010" t="inlineStr">
        <is>
          <t>LJUNGBY</t>
        </is>
      </c>
      <c r="I1010" t="n">
        <v>2.4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14602-2025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45742</v>
      </c>
      <c r="E1011" s="1" t="n">
        <v>46311</v>
      </c>
      <c r="F1011" t="inlineStr">
        <is>
          <t>KRONOBERGS LÄN</t>
        </is>
      </c>
      <c r="G1011" t="inlineStr">
        <is>
          <t>LJUNGBY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11777-2026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46084</v>
      </c>
      <c r="E1012" s="1" t="n">
        <v>46311</v>
      </c>
      <c r="F1012" t="inlineStr">
        <is>
          <t>KRONOBERGS LÄN</t>
        </is>
      </c>
      <c r="G1012" t="inlineStr">
        <is>
          <t>LJUNGBY</t>
        </is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13227-2025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45735</v>
      </c>
      <c r="E1013" s="1" t="n">
        <v>46311</v>
      </c>
      <c r="F1013" t="inlineStr">
        <is>
          <t>KRONOBERGS LÄN</t>
        </is>
      </c>
      <c r="G1013" t="inlineStr">
        <is>
          <t>LJUNGBY</t>
        </is>
      </c>
      <c r="I1013" t="n">
        <v>2.1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12310-2026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46087</v>
      </c>
      <c r="E1014" s="1" t="n">
        <v>46311</v>
      </c>
      <c r="F1014" t="inlineStr">
        <is>
          <t>KRONOBERGS LÄN</t>
        </is>
      </c>
      <c r="G1014" t="inlineStr">
        <is>
          <t>LJUNGBY</t>
        </is>
      </c>
      <c r="I1014" t="n">
        <v>0.4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13533-2026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46094</v>
      </c>
      <c r="E1015" s="1" t="n">
        <v>46311</v>
      </c>
      <c r="F1015" t="inlineStr">
        <is>
          <t>KRONOBERGS LÄN</t>
        </is>
      </c>
      <c r="G1015" t="inlineStr">
        <is>
          <t>LJUNGBY</t>
        </is>
      </c>
      <c r="I1015" t="n">
        <v>3.1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13738-2026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46097</v>
      </c>
      <c r="E1016" s="1" t="n">
        <v>46311</v>
      </c>
      <c r="F1016" t="inlineStr">
        <is>
          <t>KRONOBERGS LÄN</t>
        </is>
      </c>
      <c r="G1016" t="inlineStr">
        <is>
          <t>LJUNGBY</t>
        </is>
      </c>
      <c r="I1016" t="n">
        <v>0.7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13757-2026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46097</v>
      </c>
      <c r="E1017" s="1" t="n">
        <v>46311</v>
      </c>
      <c r="F1017" t="inlineStr">
        <is>
          <t>KRONOBERGS LÄN</t>
        </is>
      </c>
      <c r="G1017" t="inlineStr">
        <is>
          <t>LJUNGBY</t>
        </is>
      </c>
      <c r="I1017" t="n">
        <v>1.5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13772-2026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46097</v>
      </c>
      <c r="E1018" s="1" t="n">
        <v>46311</v>
      </c>
      <c r="F1018" t="inlineStr">
        <is>
          <t>KRONOBERGS LÄN</t>
        </is>
      </c>
      <c r="G1018" t="inlineStr">
        <is>
          <t>LJUNGBY</t>
        </is>
      </c>
      <c r="I1018" t="n">
        <v>3.5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S 1523-2022</t>
        </is>
      </c>
      <c r="B1019" t="inlineStr">
        <is>
          <t>samrådsanmälan</t>
        </is>
      </c>
      <c r="C1019" t="inlineStr">
        <is>
          <t>Skogsbilväg</t>
        </is>
      </c>
      <c r="D1019" s="1" t="n">
        <v>44638</v>
      </c>
      <c r="E1019" s="1" t="n">
        <v>46311</v>
      </c>
      <c r="F1019" t="inlineStr">
        <is>
          <t>KRONOBERGS LÄN</t>
        </is>
      </c>
      <c r="G1019" t="inlineStr">
        <is>
          <t>LJUNGBY</t>
        </is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S 1600-2022</t>
        </is>
      </c>
      <c r="B1020" t="inlineStr">
        <is>
          <t>samrådsanmälan</t>
        </is>
      </c>
      <c r="C1020" t="inlineStr">
        <is>
          <t>Askåterföring</t>
        </is>
      </c>
      <c r="D1020" s="1" t="n">
        <v>44644</v>
      </c>
      <c r="E1020" s="1" t="n">
        <v>46311</v>
      </c>
      <c r="F1020" t="inlineStr">
        <is>
          <t>KRONOBERGS LÄN</t>
        </is>
      </c>
      <c r="G1020" t="inlineStr">
        <is>
          <t>LJUNGBY</t>
        </is>
      </c>
      <c r="I1020" t="n">
        <v>49.2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S 1556-2022</t>
        </is>
      </c>
      <c r="B1021" t="inlineStr">
        <is>
          <t>samrådsanmälan</t>
        </is>
      </c>
      <c r="C1021" t="inlineStr">
        <is>
          <t>Askåterföring</t>
        </is>
      </c>
      <c r="D1021" s="1" t="n">
        <v>44643</v>
      </c>
      <c r="E1021" s="1" t="n">
        <v>46311</v>
      </c>
      <c r="F1021" t="inlineStr">
        <is>
          <t>KRONOBERGS LÄN</t>
        </is>
      </c>
      <c r="G1021" t="inlineStr">
        <is>
          <t>LJUNGBY</t>
        </is>
      </c>
      <c r="I1021" t="n">
        <v>17.6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S 1583-2022</t>
        </is>
      </c>
      <c r="B1022" t="inlineStr">
        <is>
          <t>samrådsanmälan</t>
        </is>
      </c>
      <c r="C1022" t="inlineStr">
        <is>
          <t>Askåterföring</t>
        </is>
      </c>
      <c r="D1022" s="1" t="n">
        <v>44643</v>
      </c>
      <c r="E1022" s="1" t="n">
        <v>46311</v>
      </c>
      <c r="F1022" t="inlineStr">
        <is>
          <t>KRONOBERGS LÄN</t>
        </is>
      </c>
      <c r="G1022" t="inlineStr">
        <is>
          <t>LJUNGBY</t>
        </is>
      </c>
      <c r="I1022" t="n">
        <v>11.4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S 1772-2022</t>
        </is>
      </c>
      <c r="B1023" t="inlineStr">
        <is>
          <t>samrådsanmälan</t>
        </is>
      </c>
      <c r="C1023" t="inlineStr">
        <is>
          <t>Askåterföring</t>
        </is>
      </c>
      <c r="D1023" s="1" t="n">
        <v>44655</v>
      </c>
      <c r="E1023" s="1" t="n">
        <v>46311</v>
      </c>
      <c r="F1023" t="inlineStr">
        <is>
          <t>KRONOBERGS LÄN</t>
        </is>
      </c>
      <c r="G1023" t="inlineStr">
        <is>
          <t>LJUNGBY</t>
        </is>
      </c>
      <c r="I1023" t="n">
        <v>28.9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S 1544-2022</t>
        </is>
      </c>
      <c r="B1024" t="inlineStr">
        <is>
          <t>samrådsanmälan</t>
        </is>
      </c>
      <c r="C1024" t="inlineStr">
        <is>
          <t>Annan skogsbruksåtgärd</t>
        </is>
      </c>
      <c r="D1024" s="1" t="n">
        <v>44642</v>
      </c>
      <c r="E1024" s="1" t="n">
        <v>46311</v>
      </c>
      <c r="F1024" t="inlineStr">
        <is>
          <t>KRONOBERGS LÄN</t>
        </is>
      </c>
      <c r="G1024" t="inlineStr">
        <is>
          <t>LJUNGBY</t>
        </is>
      </c>
      <c r="I1024" t="n">
        <v>3.4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S 2372-2023</t>
        </is>
      </c>
      <c r="B1025" t="inlineStr">
        <is>
          <t>samrådsanmälan</t>
        </is>
      </c>
      <c r="C1025" t="inlineStr">
        <is>
          <t>Annan skogsbruksåtgärd</t>
        </is>
      </c>
      <c r="D1025" s="1" t="n">
        <v>45110</v>
      </c>
      <c r="E1025" s="1" t="n">
        <v>46311</v>
      </c>
      <c r="F1025" t="inlineStr">
        <is>
          <t>KRONOBERGS LÄN</t>
        </is>
      </c>
      <c r="G1025" t="inlineStr">
        <is>
          <t>LJUNGBY</t>
        </is>
      </c>
      <c r="I1025" t="n">
        <v>0.4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S 5211-2022</t>
        </is>
      </c>
      <c r="B1026" t="inlineStr">
        <is>
          <t>samrådsanmälan</t>
        </is>
      </c>
      <c r="C1026" t="inlineStr">
        <is>
          <t>Askåterföring</t>
        </is>
      </c>
      <c r="D1026" s="1" t="n">
        <v>44820</v>
      </c>
      <c r="E1026" s="1" t="n">
        <v>46311</v>
      </c>
      <c r="F1026" t="inlineStr">
        <is>
          <t>KRONOBERGS LÄN</t>
        </is>
      </c>
      <c r="G1026" t="inlineStr">
        <is>
          <t>LJUNGBY</t>
        </is>
      </c>
      <c r="I1026" t="n">
        <v>13.4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S 3418-2024</t>
        </is>
      </c>
      <c r="B1027" t="inlineStr">
        <is>
          <t>samrådsanmälan</t>
        </is>
      </c>
      <c r="C1027" t="inlineStr">
        <is>
          <t>Annan skogsbruksåtgärd</t>
        </is>
      </c>
      <c r="D1027" s="1" t="n">
        <v>45537</v>
      </c>
      <c r="E1027" s="1" t="n">
        <v>46311</v>
      </c>
      <c r="F1027" t="inlineStr">
        <is>
          <t>KRONOBERGS LÄN</t>
        </is>
      </c>
      <c r="G1027" t="inlineStr">
        <is>
          <t>LJUNGBY</t>
        </is>
      </c>
      <c r="I1027" t="n">
        <v>1.7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S 3836-2023</t>
        </is>
      </c>
      <c r="B1028" t="inlineStr">
        <is>
          <t>samrådsanmälan</t>
        </is>
      </c>
      <c r="C1028" t="inlineStr">
        <is>
          <t>Annan skogsbruksåtgärd</t>
        </is>
      </c>
      <c r="D1028" s="1" t="n">
        <v>45226</v>
      </c>
      <c r="E1028" s="1" t="n">
        <v>46311</v>
      </c>
      <c r="F1028" t="inlineStr">
        <is>
          <t>KRONOBERGS LÄN</t>
        </is>
      </c>
      <c r="G1028" t="inlineStr">
        <is>
          <t>LJUNGBY</t>
        </is>
      </c>
      <c r="I1028" t="n">
        <v>1.1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S 3278-2024</t>
        </is>
      </c>
      <c r="B1029" t="inlineStr">
        <is>
          <t>samrådsanmälan</t>
        </is>
      </c>
      <c r="C1029" t="inlineStr">
        <is>
          <t>Skogsbilväg</t>
        </is>
      </c>
      <c r="D1029" s="1" t="n">
        <v>45527</v>
      </c>
      <c r="E1029" s="1" t="n">
        <v>46311</v>
      </c>
      <c r="F1029" t="inlineStr">
        <is>
          <t>KRONOBERGS LÄN</t>
        </is>
      </c>
      <c r="G1029" t="inlineStr">
        <is>
          <t>LJUNGBY</t>
        </is>
      </c>
      <c r="I1029" t="n">
        <v>0.3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S 4450-2024</t>
        </is>
      </c>
      <c r="B1030" t="inlineStr">
        <is>
          <t>samrådsanmälan</t>
        </is>
      </c>
      <c r="C1030" t="inlineStr">
        <is>
          <t>Annan skogsbruksåtgärd</t>
        </is>
      </c>
      <c r="D1030" s="1" t="n">
        <v>45593</v>
      </c>
      <c r="E1030" s="1" t="n">
        <v>46311</v>
      </c>
      <c r="F1030" t="inlineStr">
        <is>
          <t>KRONOBERGS LÄN</t>
        </is>
      </c>
      <c r="G1030" t="inlineStr">
        <is>
          <t>LJUNGBY</t>
        </is>
      </c>
      <c r="I1030" t="n">
        <v>1.4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S 928-2023</t>
        </is>
      </c>
      <c r="B1031" t="inlineStr">
        <is>
          <t>samrådsanmälan</t>
        </is>
      </c>
      <c r="C1031" t="inlineStr">
        <is>
          <t>Askåterföring</t>
        </is>
      </c>
      <c r="D1031" s="1" t="n">
        <v>45000</v>
      </c>
      <c r="E1031" s="1" t="n">
        <v>46311</v>
      </c>
      <c r="F1031" t="inlineStr">
        <is>
          <t>KRONOBERGS LÄN</t>
        </is>
      </c>
      <c r="G1031" t="inlineStr">
        <is>
          <t>LJUNGBY</t>
        </is>
      </c>
      <c r="I1031" t="n">
        <v>8.800000000000001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S 5212-2022</t>
        </is>
      </c>
      <c r="B1032" t="inlineStr">
        <is>
          <t>samrådsanmälan</t>
        </is>
      </c>
      <c r="C1032" t="inlineStr">
        <is>
          <t>Askåterföring</t>
        </is>
      </c>
      <c r="D1032" s="1" t="n">
        <v>44820</v>
      </c>
      <c r="E1032" s="1" t="n">
        <v>46311</v>
      </c>
      <c r="F1032" t="inlineStr">
        <is>
          <t>KRONOBERGS LÄN</t>
        </is>
      </c>
      <c r="G1032" t="inlineStr">
        <is>
          <t>LJUNGBY</t>
        </is>
      </c>
      <c r="I1032" t="n">
        <v>7.9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S 1395-2024</t>
        </is>
      </c>
      <c r="B1033" t="inlineStr">
        <is>
          <t>samrådsanmälan</t>
        </is>
      </c>
      <c r="C1033" t="inlineStr">
        <is>
          <t>Annan skogsbruksåtgärd</t>
        </is>
      </c>
      <c r="D1033" s="1" t="n">
        <v>45412</v>
      </c>
      <c r="E1033" s="1" t="n">
        <v>46311</v>
      </c>
      <c r="F1033" t="inlineStr">
        <is>
          <t>KRONOBERGS LÄN</t>
        </is>
      </c>
      <c r="G1033" t="inlineStr">
        <is>
          <t>LJUNGBY</t>
        </is>
      </c>
      <c r="I1033" t="n">
        <v>2.2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S 4474-2023</t>
        </is>
      </c>
      <c r="B1034" t="inlineStr">
        <is>
          <t>samrådsanmälan</t>
        </is>
      </c>
      <c r="C1034" t="inlineStr">
        <is>
          <t>Annan skogsbruksåtgärd</t>
        </is>
      </c>
      <c r="D1034" s="1" t="n">
        <v>45272</v>
      </c>
      <c r="E1034" s="1" t="n">
        <v>46311</v>
      </c>
      <c r="F1034" t="inlineStr">
        <is>
          <t>KRONOBERGS LÄN</t>
        </is>
      </c>
      <c r="G1034" t="inlineStr">
        <is>
          <t>LJUNGBY</t>
        </is>
      </c>
      <c r="I1034" t="n">
        <v>2.4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S 2871-2023</t>
        </is>
      </c>
      <c r="B1035" t="inlineStr">
        <is>
          <t>samrådsanmälan</t>
        </is>
      </c>
      <c r="C1035" t="inlineStr">
        <is>
          <t>Annan skogsbruksåtgärd</t>
        </is>
      </c>
      <c r="D1035" s="1" t="n">
        <v>45168</v>
      </c>
      <c r="E1035" s="1" t="n">
        <v>46311</v>
      </c>
      <c r="F1035" t="inlineStr">
        <is>
          <t>KRONOBERGS LÄN</t>
        </is>
      </c>
      <c r="G1035" t="inlineStr">
        <is>
          <t>LJUNGBY</t>
        </is>
      </c>
      <c r="I1035" t="n">
        <v>0.4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S 943-2024</t>
        </is>
      </c>
      <c r="B1036" t="inlineStr">
        <is>
          <t>samrådsanmälan</t>
        </is>
      </c>
      <c r="C1036" t="inlineStr">
        <is>
          <t>Skogsgödsling</t>
        </is>
      </c>
      <c r="D1036" s="1" t="n">
        <v>45378</v>
      </c>
      <c r="E1036" s="1" t="n">
        <v>46311</v>
      </c>
      <c r="F1036" t="inlineStr">
        <is>
          <t>KRONOBERGS LÄN</t>
        </is>
      </c>
      <c r="G1036" t="inlineStr">
        <is>
          <t>LJUNGBY</t>
        </is>
      </c>
      <c r="I1036" t="n">
        <v>24.5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S 3725-2024</t>
        </is>
      </c>
      <c r="B1037" t="inlineStr">
        <is>
          <t>samrådsanmälan</t>
        </is>
      </c>
      <c r="C1037" t="inlineStr">
        <is>
          <t>Askåterföring</t>
        </is>
      </c>
      <c r="D1037" s="1" t="n">
        <v>45554</v>
      </c>
      <c r="E1037" s="1" t="n">
        <v>46311</v>
      </c>
      <c r="F1037" t="inlineStr">
        <is>
          <t>KRONOBERGS LÄN</t>
        </is>
      </c>
      <c r="G1037" t="inlineStr">
        <is>
          <t>LJUNGBY</t>
        </is>
      </c>
      <c r="I1037" t="n">
        <v>9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S 4103-2024</t>
        </is>
      </c>
      <c r="B1038" t="inlineStr">
        <is>
          <t>samrådsanmälan</t>
        </is>
      </c>
      <c r="C1038" t="inlineStr">
        <is>
          <t>Annan skogsbruksåtgärd</t>
        </is>
      </c>
      <c r="D1038" s="1" t="n">
        <v>45574</v>
      </c>
      <c r="E1038" s="1" t="n">
        <v>46311</v>
      </c>
      <c r="F1038" t="inlineStr">
        <is>
          <t>KRONOBERGS LÄN</t>
        </is>
      </c>
      <c r="G1038" t="inlineStr">
        <is>
          <t>LJUNGBY</t>
        </is>
      </c>
      <c r="I1038" t="n">
        <v>0.3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S 4818-2024</t>
        </is>
      </c>
      <c r="B1039" t="inlineStr">
        <is>
          <t>samrådsanmälan</t>
        </is>
      </c>
      <c r="C1039" t="inlineStr">
        <is>
          <t>Askåterföring</t>
        </is>
      </c>
      <c r="D1039" s="1" t="n">
        <v>45615</v>
      </c>
      <c r="E1039" s="1" t="n">
        <v>46311</v>
      </c>
      <c r="F1039" t="inlineStr">
        <is>
          <t>KRONOBERGS LÄN</t>
        </is>
      </c>
      <c r="G1039" t="inlineStr">
        <is>
          <t>LJUNGBY</t>
        </is>
      </c>
      <c r="I1039" t="n">
        <v>58.1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S 3272-2024</t>
        </is>
      </c>
      <c r="B1040" t="inlineStr">
        <is>
          <t>samrådsanmälan</t>
        </is>
      </c>
      <c r="C1040" t="inlineStr">
        <is>
          <t>Skogsbilväg</t>
        </is>
      </c>
      <c r="D1040" s="1" t="n">
        <v>45526</v>
      </c>
      <c r="E1040" s="1" t="n">
        <v>46311</v>
      </c>
      <c r="F1040" t="inlineStr">
        <is>
          <t>KRONOBERGS LÄN</t>
        </is>
      </c>
      <c r="G1040" t="inlineStr">
        <is>
          <t>LJUNGBY</t>
        </is>
      </c>
      <c r="I1040" t="n">
        <v>0.3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S 4543-2024</t>
        </is>
      </c>
      <c r="B1041" t="inlineStr">
        <is>
          <t>samrådsanmälan</t>
        </is>
      </c>
      <c r="C1041" t="inlineStr">
        <is>
          <t>Askåterföring</t>
        </is>
      </c>
      <c r="D1041" s="1" t="n">
        <v>45597</v>
      </c>
      <c r="E1041" s="1" t="n">
        <v>46311</v>
      </c>
      <c r="F1041" t="inlineStr">
        <is>
          <t>KRONOBERGS LÄN</t>
        </is>
      </c>
      <c r="G1041" t="inlineStr">
        <is>
          <t>LJUNGBY</t>
        </is>
      </c>
      <c r="I1041" t="n">
        <v>16.8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S 1299-2023</t>
        </is>
      </c>
      <c r="B1042" t="inlineStr">
        <is>
          <t>samrådsanmälan</t>
        </is>
      </c>
      <c r="C1042" t="inlineStr">
        <is>
          <t>Askåterföring</t>
        </is>
      </c>
      <c r="D1042" s="1" t="n">
        <v>45033</v>
      </c>
      <c r="E1042" s="1" t="n">
        <v>46311</v>
      </c>
      <c r="F1042" t="inlineStr">
        <is>
          <t>KRONOBERGS LÄN</t>
        </is>
      </c>
      <c r="G1042" t="inlineStr">
        <is>
          <t>LJUNGBY</t>
        </is>
      </c>
      <c r="I1042" t="n">
        <v>14.7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S 3711-2024</t>
        </is>
      </c>
      <c r="B1043" t="inlineStr">
        <is>
          <t>samrådsanmälan</t>
        </is>
      </c>
      <c r="C1043" t="inlineStr">
        <is>
          <t>Annan skogsbruksåtgärd</t>
        </is>
      </c>
      <c r="D1043" s="1" t="n">
        <v>45553</v>
      </c>
      <c r="E1043" s="1" t="n">
        <v>46311</v>
      </c>
      <c r="F1043" t="inlineStr">
        <is>
          <t>KRONOBERGS LÄN</t>
        </is>
      </c>
      <c r="G1043" t="inlineStr">
        <is>
          <t>LJUNGBY</t>
        </is>
      </c>
      <c r="I1043" t="n">
        <v>4.3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S 671-2024</t>
        </is>
      </c>
      <c r="B1044" t="inlineStr">
        <is>
          <t>samrådsanmälan</t>
        </is>
      </c>
      <c r="C1044" t="inlineStr">
        <is>
          <t>Askåterföring</t>
        </is>
      </c>
      <c r="D1044" s="1" t="n">
        <v>45357</v>
      </c>
      <c r="E1044" s="1" t="n">
        <v>46311</v>
      </c>
      <c r="F1044" t="inlineStr">
        <is>
          <t>KRONOBERGS LÄN</t>
        </is>
      </c>
      <c r="G1044" t="inlineStr">
        <is>
          <t>LJUNGBY</t>
        </is>
      </c>
      <c r="I1044" t="n">
        <v>22.9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S 1587-2024</t>
        </is>
      </c>
      <c r="B1045" t="inlineStr">
        <is>
          <t>samrådsanmälan</t>
        </is>
      </c>
      <c r="C1045" t="inlineStr">
        <is>
          <t>Askåterföring</t>
        </is>
      </c>
      <c r="D1045" s="1" t="n">
        <v>45427</v>
      </c>
      <c r="E1045" s="1" t="n">
        <v>46311</v>
      </c>
      <c r="F1045" t="inlineStr">
        <is>
          <t>KRONOBERGS LÄN</t>
        </is>
      </c>
      <c r="G1045" t="inlineStr">
        <is>
          <t>LJUNGBY</t>
        </is>
      </c>
      <c r="I1045" t="n">
        <v>12.3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S 2002-2024</t>
        </is>
      </c>
      <c r="B1046" t="inlineStr">
        <is>
          <t>samrådsanmälan</t>
        </is>
      </c>
      <c r="C1046" t="inlineStr">
        <is>
          <t>Askåterföring</t>
        </is>
      </c>
      <c r="D1046" s="1" t="n">
        <v>45447</v>
      </c>
      <c r="E1046" s="1" t="n">
        <v>46311</v>
      </c>
      <c r="F1046" t="inlineStr">
        <is>
          <t>KRONOBERGS LÄN</t>
        </is>
      </c>
      <c r="G1046" t="inlineStr">
        <is>
          <t>LJUNGBY</t>
        </is>
      </c>
      <c r="I1046" t="n">
        <v>14.8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S 46-2024</t>
        </is>
      </c>
      <c r="B1047" t="inlineStr">
        <is>
          <t>samrådsanmälan</t>
        </is>
      </c>
      <c r="C1047" t="inlineStr">
        <is>
          <t>Askåterföring</t>
        </is>
      </c>
      <c r="D1047" s="1" t="n">
        <v>45294</v>
      </c>
      <c r="E1047" s="1" t="n">
        <v>46311</v>
      </c>
      <c r="F1047" t="inlineStr">
        <is>
          <t>KRONOBERGS LÄN</t>
        </is>
      </c>
      <c r="G1047" t="inlineStr">
        <is>
          <t>LJUNGBY</t>
        </is>
      </c>
      <c r="I1047" t="n">
        <v>50.3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S 927-2023</t>
        </is>
      </c>
      <c r="B1048" t="inlineStr">
        <is>
          <t>samrådsanmälan</t>
        </is>
      </c>
      <c r="C1048" t="inlineStr">
        <is>
          <t>Askåterföring</t>
        </is>
      </c>
      <c r="D1048" s="1" t="n">
        <v>45000</v>
      </c>
      <c r="E1048" s="1" t="n">
        <v>46311</v>
      </c>
      <c r="F1048" t="inlineStr">
        <is>
          <t>KRONOBERGS LÄN</t>
        </is>
      </c>
      <c r="G1048" t="inlineStr">
        <is>
          <t>LJUNGBY</t>
        </is>
      </c>
      <c r="I1048" t="n">
        <v>19.5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S 2870-2023</t>
        </is>
      </c>
      <c r="B1049" t="inlineStr">
        <is>
          <t>samrådsanmälan</t>
        </is>
      </c>
      <c r="C1049" t="inlineStr">
        <is>
          <t>Annan skogsbruksåtgärd</t>
        </is>
      </c>
      <c r="D1049" s="1" t="n">
        <v>45168</v>
      </c>
      <c r="E1049" s="1" t="n">
        <v>46311</v>
      </c>
      <c r="F1049" t="inlineStr">
        <is>
          <t>KRONOBERGS LÄN</t>
        </is>
      </c>
      <c r="G1049" t="inlineStr">
        <is>
          <t>LJUNGBY</t>
        </is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S 1441-2023</t>
        </is>
      </c>
      <c r="B1050" t="inlineStr">
        <is>
          <t>samrådsanmälan</t>
        </is>
      </c>
      <c r="C1050" t="inlineStr">
        <is>
          <t>Askåterföring</t>
        </is>
      </c>
      <c r="D1050" s="1" t="n">
        <v>45044</v>
      </c>
      <c r="E1050" s="1" t="n">
        <v>46311</v>
      </c>
      <c r="F1050" t="inlineStr">
        <is>
          <t>KRONOBERGS LÄN</t>
        </is>
      </c>
      <c r="G1050" t="inlineStr">
        <is>
          <t>LJUNGBY</t>
        </is>
      </c>
      <c r="I1050" t="n">
        <v>26.9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S 4438-2023</t>
        </is>
      </c>
      <c r="B1051" t="inlineStr">
        <is>
          <t>samrådsanmälan</t>
        </is>
      </c>
      <c r="C1051" t="inlineStr">
        <is>
          <t>Annan skogsbruksåtgärd</t>
        </is>
      </c>
      <c r="D1051" s="1" t="n">
        <v>45267</v>
      </c>
      <c r="E1051" s="1" t="n">
        <v>46311</v>
      </c>
      <c r="F1051" t="inlineStr">
        <is>
          <t>KRONOBERGS LÄN</t>
        </is>
      </c>
      <c r="G1051" t="inlineStr">
        <is>
          <t>LJUNGBY</t>
        </is>
      </c>
      <c r="I1051" t="n">
        <v>1.6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S 1908-2024</t>
        </is>
      </c>
      <c r="B1052" t="inlineStr">
        <is>
          <t>samrådsanmälan</t>
        </is>
      </c>
      <c r="C1052" t="inlineStr">
        <is>
          <t>Askåterföring</t>
        </is>
      </c>
      <c r="D1052" s="1" t="n">
        <v>45442</v>
      </c>
      <c r="E1052" s="1" t="n">
        <v>46311</v>
      </c>
      <c r="F1052" t="inlineStr">
        <is>
          <t>KRONOBERGS LÄN</t>
        </is>
      </c>
      <c r="G1052" t="inlineStr">
        <is>
          <t>LJUNGBY</t>
        </is>
      </c>
      <c r="I1052" t="n">
        <v>19.4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S 340-2023</t>
        </is>
      </c>
      <c r="B1053" t="inlineStr">
        <is>
          <t>samrådsanmälan</t>
        </is>
      </c>
      <c r="C1053" t="inlineStr">
        <is>
          <t>Annan skogsbruksåtgärd</t>
        </is>
      </c>
      <c r="D1053" s="1" t="n">
        <v>44960</v>
      </c>
      <c r="E1053" s="1" t="n">
        <v>46311</v>
      </c>
      <c r="F1053" t="inlineStr">
        <is>
          <t>KRONOBERGS LÄN</t>
        </is>
      </c>
      <c r="G1053" t="inlineStr">
        <is>
          <t>LJUNGBY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S 563-2023</t>
        </is>
      </c>
      <c r="B1054" t="inlineStr">
        <is>
          <t>samrådsanmälan</t>
        </is>
      </c>
      <c r="C1054" t="inlineStr">
        <is>
          <t>Annan skogsbruksåtgärd</t>
        </is>
      </c>
      <c r="D1054" s="1" t="n">
        <v>44973</v>
      </c>
      <c r="E1054" s="1" t="n">
        <v>46311</v>
      </c>
      <c r="F1054" t="inlineStr">
        <is>
          <t>KRONOBERGS LÄN</t>
        </is>
      </c>
      <c r="G1054" t="inlineStr">
        <is>
          <t>LJUNGBY</t>
        </is>
      </c>
      <c r="I1054" t="n">
        <v>0.1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S 3849-2024</t>
        </is>
      </c>
      <c r="B1055" t="inlineStr">
        <is>
          <t>samrådsanmälan</t>
        </is>
      </c>
      <c r="C1055" t="inlineStr">
        <is>
          <t>Annan skogsbruksåtgärd</t>
        </is>
      </c>
      <c r="D1055" s="1" t="n">
        <v>45560</v>
      </c>
      <c r="E1055" s="1" t="n">
        <v>46311</v>
      </c>
      <c r="F1055" t="inlineStr">
        <is>
          <t>KRONOBERGS LÄN</t>
        </is>
      </c>
      <c r="G1055" t="inlineStr">
        <is>
          <t>LJUNGBY</t>
        </is>
      </c>
      <c r="I1055" t="n">
        <v>1.2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S 670-2024</t>
        </is>
      </c>
      <c r="B1056" t="inlineStr">
        <is>
          <t>samrådsanmälan</t>
        </is>
      </c>
      <c r="C1056" t="inlineStr">
        <is>
          <t>Askåterföring</t>
        </is>
      </c>
      <c r="D1056" s="1" t="n">
        <v>45357</v>
      </c>
      <c r="E1056" s="1" t="n">
        <v>46311</v>
      </c>
      <c r="F1056" t="inlineStr">
        <is>
          <t>KRONOBERGS LÄN</t>
        </is>
      </c>
      <c r="G1056" t="inlineStr">
        <is>
          <t>LJUNGBY</t>
        </is>
      </c>
      <c r="I1056" t="n">
        <v>38.8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S 6542-2022</t>
        </is>
      </c>
      <c r="B1057" t="inlineStr">
        <is>
          <t>samrådsanmälan</t>
        </is>
      </c>
      <c r="C1057" t="inlineStr">
        <is>
          <t>Annan skogsbruksåtgärd</t>
        </is>
      </c>
      <c r="D1057" s="1" t="n">
        <v>44882</v>
      </c>
      <c r="E1057" s="1" t="n">
        <v>46311</v>
      </c>
      <c r="F1057" t="inlineStr">
        <is>
          <t>KRONOBERGS LÄN</t>
        </is>
      </c>
      <c r="G1057" t="inlineStr">
        <is>
          <t>LJUNGBY</t>
        </is>
      </c>
      <c r="I1057" t="n">
        <v>2.4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S 2373-2023</t>
        </is>
      </c>
      <c r="B1058" t="inlineStr">
        <is>
          <t>samrådsanmälan</t>
        </is>
      </c>
      <c r="C1058" t="inlineStr">
        <is>
          <t>Annan skogsbruksåtgärd</t>
        </is>
      </c>
      <c r="D1058" s="1" t="n">
        <v>45110</v>
      </c>
      <c r="E1058" s="1" t="n">
        <v>46311</v>
      </c>
      <c r="F1058" t="inlineStr">
        <is>
          <t>KRONOBERGS LÄN</t>
        </is>
      </c>
      <c r="G1058" t="inlineStr">
        <is>
          <t>LJUNGBY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S 1132-2025</t>
        </is>
      </c>
      <c r="B1059" t="inlineStr">
        <is>
          <t>samrådsanmälan</t>
        </is>
      </c>
      <c r="C1059" t="inlineStr">
        <is>
          <t>Askåterföring</t>
        </is>
      </c>
      <c r="D1059" s="1" t="n">
        <v>45755</v>
      </c>
      <c r="E1059" s="1" t="n">
        <v>46311</v>
      </c>
      <c r="F1059" t="inlineStr">
        <is>
          <t>KRONOBERGS LÄN</t>
        </is>
      </c>
      <c r="G1059" t="inlineStr">
        <is>
          <t>LJUNGBY</t>
        </is>
      </c>
      <c r="I1059" t="n">
        <v>29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S 5044-2024</t>
        </is>
      </c>
      <c r="B1060" t="inlineStr">
        <is>
          <t>samrådsanmälan</t>
        </is>
      </c>
      <c r="C1060" t="inlineStr">
        <is>
          <t>Askåterföring</t>
        </is>
      </c>
      <c r="D1060" s="1" t="n">
        <v>45637</v>
      </c>
      <c r="E1060" s="1" t="n">
        <v>46311</v>
      </c>
      <c r="F1060" t="inlineStr">
        <is>
          <t>KRONOBERGS LÄN</t>
        </is>
      </c>
      <c r="G1060" t="inlineStr">
        <is>
          <t>LJUNGBY</t>
        </is>
      </c>
      <c r="I1060" t="n">
        <v>25.9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S 5130-2024</t>
        </is>
      </c>
      <c r="B1061" t="inlineStr">
        <is>
          <t>samrådsanmälan</t>
        </is>
      </c>
      <c r="C1061" t="inlineStr">
        <is>
          <t>Askåterföring</t>
        </is>
      </c>
      <c r="D1061" s="1" t="n">
        <v>45645</v>
      </c>
      <c r="E1061" s="1" t="n">
        <v>46311</v>
      </c>
      <c r="F1061" t="inlineStr">
        <is>
          <t>KRONOBERGS LÄN</t>
        </is>
      </c>
      <c r="G1061" t="inlineStr">
        <is>
          <t>LJUNGBY</t>
        </is>
      </c>
      <c r="I1061" t="n">
        <v>24.1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S 597-2025</t>
        </is>
      </c>
      <c r="B1062" t="inlineStr">
        <is>
          <t>samrådsanmälan</t>
        </is>
      </c>
      <c r="C1062" t="inlineStr">
        <is>
          <t>Annan skogsbruksåtgärd</t>
        </is>
      </c>
      <c r="D1062" s="1" t="n">
        <v>45713</v>
      </c>
      <c r="E1062" s="1" t="n">
        <v>46311</v>
      </c>
      <c r="F1062" t="inlineStr">
        <is>
          <t>KRONOBERGS LÄN</t>
        </is>
      </c>
      <c r="G1062" t="inlineStr">
        <is>
          <t>LJUNGBY</t>
        </is>
      </c>
      <c r="I1062" t="n">
        <v>3.9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S 962-2025</t>
        </is>
      </c>
      <c r="B1063" t="inlineStr">
        <is>
          <t>samrådsanmälan</t>
        </is>
      </c>
      <c r="C1063" t="inlineStr">
        <is>
          <t>Askåterföring</t>
        </is>
      </c>
      <c r="D1063" s="1" t="n">
        <v>45742</v>
      </c>
      <c r="E1063" s="1" t="n">
        <v>46311</v>
      </c>
      <c r="F1063" t="inlineStr">
        <is>
          <t>KRONOBERGS LÄN</t>
        </is>
      </c>
      <c r="G1063" t="inlineStr">
        <is>
          <t>LJUNGBY</t>
        </is>
      </c>
      <c r="I1063" t="n">
        <v>18.8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S 712-2025</t>
        </is>
      </c>
      <c r="B1064" t="inlineStr">
        <is>
          <t>samrådsanmälan</t>
        </is>
      </c>
      <c r="C1064" t="inlineStr">
        <is>
          <t>Askåterföring</t>
        </is>
      </c>
      <c r="D1064" s="1" t="n">
        <v>45720</v>
      </c>
      <c r="E1064" s="1" t="n">
        <v>46311</v>
      </c>
      <c r="F1064" t="inlineStr">
        <is>
          <t>KRONOBERGS LÄN</t>
        </is>
      </c>
      <c r="G1064" t="inlineStr">
        <is>
          <t>LJUNGBY</t>
        </is>
      </c>
      <c r="I1064" t="n">
        <v>15.1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S 5018-2024</t>
        </is>
      </c>
      <c r="B1065" t="inlineStr">
        <is>
          <t>samrådsanmälan</t>
        </is>
      </c>
      <c r="C1065" t="inlineStr">
        <is>
          <t>Askåterföring</t>
        </is>
      </c>
      <c r="D1065" s="1" t="n">
        <v>45632</v>
      </c>
      <c r="E1065" s="1" t="n">
        <v>46311</v>
      </c>
      <c r="F1065" t="inlineStr">
        <is>
          <t>KRONOBERGS LÄN</t>
        </is>
      </c>
      <c r="G1065" t="inlineStr">
        <is>
          <t>LJUNGBY</t>
        </is>
      </c>
      <c r="I1065" t="n">
        <v>13.7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S 4999-2024</t>
        </is>
      </c>
      <c r="B1066" t="inlineStr">
        <is>
          <t>samrådsanmälan</t>
        </is>
      </c>
      <c r="C1066" t="inlineStr">
        <is>
          <t>Askåterföring</t>
        </is>
      </c>
      <c r="D1066" s="1" t="n">
        <v>45631</v>
      </c>
      <c r="E1066" s="1" t="n">
        <v>46311</v>
      </c>
      <c r="F1066" t="inlineStr">
        <is>
          <t>KRONOBERGS LÄN</t>
        </is>
      </c>
      <c r="G1066" t="inlineStr">
        <is>
          <t>LJUNGBY</t>
        </is>
      </c>
      <c r="I1066" t="n">
        <v>11.6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S 604-2025</t>
        </is>
      </c>
      <c r="B1067" t="inlineStr">
        <is>
          <t>samrådsanmälan</t>
        </is>
      </c>
      <c r="C1067" t="inlineStr">
        <is>
          <t>Annan skogsbruksåtgärd</t>
        </is>
      </c>
      <c r="D1067" s="1" t="n">
        <v>45713</v>
      </c>
      <c r="E1067" s="1" t="n">
        <v>46311</v>
      </c>
      <c r="F1067" t="inlineStr">
        <is>
          <t>KRONOBERGS LÄN</t>
        </is>
      </c>
      <c r="G1067" t="inlineStr">
        <is>
          <t>LJUNGBY</t>
        </is>
      </c>
      <c r="I1067" t="n">
        <v>1.8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S 1495-2025</t>
        </is>
      </c>
      <c r="B1068" t="inlineStr">
        <is>
          <t>samrådsanmälan</t>
        </is>
      </c>
      <c r="C1068" t="inlineStr">
        <is>
          <t>Askåterföring</t>
        </is>
      </c>
      <c r="D1068" s="1" t="n">
        <v>45789</v>
      </c>
      <c r="E1068" s="1" t="n">
        <v>46311</v>
      </c>
      <c r="F1068" t="inlineStr">
        <is>
          <t>KRONOBERGS LÄN</t>
        </is>
      </c>
      <c r="G1068" t="inlineStr">
        <is>
          <t>LJUNGBY</t>
        </is>
      </c>
      <c r="I1068" t="n">
        <v>25.7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S 1813-2025</t>
        </is>
      </c>
      <c r="B1069" t="inlineStr">
        <is>
          <t>samrådsanmälan</t>
        </is>
      </c>
      <c r="C1069" t="inlineStr">
        <is>
          <t>Annan skogsbruksåtgärd</t>
        </is>
      </c>
      <c r="D1069" s="1" t="n">
        <v>45818</v>
      </c>
      <c r="E1069" s="1" t="n">
        <v>46311</v>
      </c>
      <c r="F1069" t="inlineStr">
        <is>
          <t>KRONOBERGS LÄN</t>
        </is>
      </c>
      <c r="G1069" t="inlineStr">
        <is>
          <t>LJUNGBY</t>
        </is>
      </c>
      <c r="I1069" t="n">
        <v>0.2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S 1952-2025</t>
        </is>
      </c>
      <c r="B1070" t="inlineStr">
        <is>
          <t>samrådsanmälan</t>
        </is>
      </c>
      <c r="C1070" t="inlineStr">
        <is>
          <t>Askåterföring</t>
        </is>
      </c>
      <c r="D1070" s="1" t="n">
        <v>45831</v>
      </c>
      <c r="E1070" s="1" t="n">
        <v>46311</v>
      </c>
      <c r="F1070" t="inlineStr">
        <is>
          <t>KRONOBERGS LÄN</t>
        </is>
      </c>
      <c r="G1070" t="inlineStr">
        <is>
          <t>LJUNGBY</t>
        </is>
      </c>
      <c r="I1070" t="n">
        <v>16.2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S 1954-2025</t>
        </is>
      </c>
      <c r="B1071" t="inlineStr">
        <is>
          <t>samrådsanmälan</t>
        </is>
      </c>
      <c r="C1071" t="inlineStr">
        <is>
          <t>Askåterföring</t>
        </is>
      </c>
      <c r="D1071" s="1" t="n">
        <v>45831</v>
      </c>
      <c r="E1071" s="1" t="n">
        <v>46311</v>
      </c>
      <c r="F1071" t="inlineStr">
        <is>
          <t>KRONOBERGS LÄN</t>
        </is>
      </c>
      <c r="G1071" t="inlineStr">
        <is>
          <t>LJUNGBY</t>
        </is>
      </c>
      <c r="I1071" t="n">
        <v>16.2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S 2405-2025</t>
        </is>
      </c>
      <c r="B1072" t="inlineStr">
        <is>
          <t>samrådsanmälan</t>
        </is>
      </c>
      <c r="C1072" t="inlineStr">
        <is>
          <t>Askåterföring</t>
        </is>
      </c>
      <c r="D1072" s="1" t="n">
        <v>45895</v>
      </c>
      <c r="E1072" s="1" t="n">
        <v>46311</v>
      </c>
      <c r="F1072" t="inlineStr">
        <is>
          <t>KRONOBERGS LÄN</t>
        </is>
      </c>
      <c r="G1072" t="inlineStr">
        <is>
          <t>LJUNGBY</t>
        </is>
      </c>
      <c r="I1072" t="n">
        <v>45.2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S 2401-2025</t>
        </is>
      </c>
      <c r="B1073" t="inlineStr">
        <is>
          <t>samrådsanmälan</t>
        </is>
      </c>
      <c r="C1073" t="inlineStr">
        <is>
          <t>Askåterföring</t>
        </is>
      </c>
      <c r="D1073" s="1" t="n">
        <v>45895</v>
      </c>
      <c r="E1073" s="1" t="n">
        <v>46311</v>
      </c>
      <c r="F1073" t="inlineStr">
        <is>
          <t>KRONOBERGS LÄN</t>
        </is>
      </c>
      <c r="G1073" t="inlineStr">
        <is>
          <t>LJUNGBY</t>
        </is>
      </c>
      <c r="I1073" t="n">
        <v>26.2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S 2394-2025</t>
        </is>
      </c>
      <c r="B1074" t="inlineStr">
        <is>
          <t>samrådsanmälan</t>
        </is>
      </c>
      <c r="C1074" t="inlineStr">
        <is>
          <t>Askåterföring</t>
        </is>
      </c>
      <c r="D1074" s="1" t="n">
        <v>45894</v>
      </c>
      <c r="E1074" s="1" t="n">
        <v>46311</v>
      </c>
      <c r="F1074" t="inlineStr">
        <is>
          <t>KRONOBERGS LÄN</t>
        </is>
      </c>
      <c r="G1074" t="inlineStr">
        <is>
          <t>LJUNGBY</t>
        </is>
      </c>
      <c r="I1074" t="n">
        <v>7.6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S 16-2026</t>
        </is>
      </c>
      <c r="B1075" t="inlineStr">
        <is>
          <t>samrådsanmälan</t>
        </is>
      </c>
      <c r="C1075" t="inlineStr">
        <is>
          <t>Askåterföring</t>
        </is>
      </c>
      <c r="D1075" s="1" t="n">
        <v>46024</v>
      </c>
      <c r="E1075" s="1" t="n">
        <v>46311</v>
      </c>
      <c r="F1075" t="inlineStr">
        <is>
          <t>KRONOBERGS LÄN</t>
        </is>
      </c>
      <c r="G1075" t="inlineStr">
        <is>
          <t>LJUNGBY</t>
        </is>
      </c>
      <c r="I1075" t="n">
        <v>13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S 18-2026</t>
        </is>
      </c>
      <c r="B1076" t="inlineStr">
        <is>
          <t>samrådsanmälan</t>
        </is>
      </c>
      <c r="C1076" t="inlineStr">
        <is>
          <t>Askåterföring</t>
        </is>
      </c>
      <c r="D1076" s="1" t="n">
        <v>46024</v>
      </c>
      <c r="E1076" s="1" t="n">
        <v>46311</v>
      </c>
      <c r="F1076" t="inlineStr">
        <is>
          <t>KRONOBERGS LÄN</t>
        </is>
      </c>
      <c r="G1076" t="inlineStr">
        <is>
          <t>LJUNGBY</t>
        </is>
      </c>
      <c r="I1076" t="n">
        <v>15.7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S 12-2026</t>
        </is>
      </c>
      <c r="B1077" t="inlineStr">
        <is>
          <t>samrådsanmälan</t>
        </is>
      </c>
      <c r="C1077" t="inlineStr">
        <is>
          <t>Annan skogsbruksåtgärd</t>
        </is>
      </c>
      <c r="D1077" s="1" t="n">
        <v>46027</v>
      </c>
      <c r="E1077" s="1" t="n">
        <v>46311</v>
      </c>
      <c r="F1077" t="inlineStr">
        <is>
          <t>KRONOBERGS LÄN</t>
        </is>
      </c>
      <c r="G1077" t="inlineStr">
        <is>
          <t>LJUNGBY</t>
        </is>
      </c>
      <c r="I1077" t="n">
        <v>1.8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S 38-2026</t>
        </is>
      </c>
      <c r="B1078" t="inlineStr">
        <is>
          <t>samrådsanmälan</t>
        </is>
      </c>
      <c r="C1078" t="inlineStr">
        <is>
          <t>Annan skogsbruksåtgärd</t>
        </is>
      </c>
      <c r="D1078" s="1" t="n">
        <v>46029</v>
      </c>
      <c r="E1078" s="1" t="n">
        <v>46311</v>
      </c>
      <c r="F1078" t="inlineStr">
        <is>
          <t>KRONOBERGS LÄN</t>
        </is>
      </c>
      <c r="G1078" t="inlineStr">
        <is>
          <t>LJUNGBY</t>
        </is>
      </c>
      <c r="H1078" t="inlineStr">
        <is>
          <t>Sveaskog</t>
        </is>
      </c>
      <c r="I1078" t="n">
        <v>6.3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S 330-2026</t>
        </is>
      </c>
      <c r="B1079" t="inlineStr">
        <is>
          <t>samrådsanmälan</t>
        </is>
      </c>
      <c r="C1079" t="inlineStr">
        <is>
          <t>Askåterföring</t>
        </is>
      </c>
      <c r="D1079" s="1" t="n">
        <v>46062</v>
      </c>
      <c r="E1079" s="1" t="n">
        <v>46311</v>
      </c>
      <c r="F1079" t="inlineStr">
        <is>
          <t>KRONOBERGS LÄN</t>
        </is>
      </c>
      <c r="G1079" t="inlineStr">
        <is>
          <t>LJUNGBY</t>
        </is>
      </c>
      <c r="I1079" t="n">
        <v>27.9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S 338-2026</t>
        </is>
      </c>
      <c r="B1080" t="inlineStr">
        <is>
          <t>samrådsanmälan</t>
        </is>
      </c>
      <c r="C1080" t="inlineStr">
        <is>
          <t>Annan skogsbruksåtgärd</t>
        </is>
      </c>
      <c r="D1080" s="1" t="n">
        <v>46063</v>
      </c>
      <c r="E1080" s="1" t="n">
        <v>46311</v>
      </c>
      <c r="F1080" t="inlineStr">
        <is>
          <t>KRONOBERGS LÄN</t>
        </is>
      </c>
      <c r="G1080" t="inlineStr">
        <is>
          <t>LJUNGBY</t>
        </is>
      </c>
      <c r="I1080" t="n">
        <v>2.2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S 366-2026</t>
        </is>
      </c>
      <c r="B1081" t="inlineStr">
        <is>
          <t>samrådsanmälan</t>
        </is>
      </c>
      <c r="C1081" t="inlineStr">
        <is>
          <t>Annan skogsbruksåtgärd</t>
        </is>
      </c>
      <c r="D1081" s="1" t="n">
        <v>46064</v>
      </c>
      <c r="E1081" s="1" t="n">
        <v>46311</v>
      </c>
      <c r="F1081" t="inlineStr">
        <is>
          <t>KRONOBERGS LÄN</t>
        </is>
      </c>
      <c r="G1081" t="inlineStr">
        <is>
          <t>LJUNGBY</t>
        </is>
      </c>
      <c r="I1081" t="n">
        <v>0.8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S 1350-2026</t>
        </is>
      </c>
      <c r="B1082" t="inlineStr">
        <is>
          <t>samrådsanmälan</t>
        </is>
      </c>
      <c r="C1082" t="inlineStr">
        <is>
          <t>Annan skogsbruksåtgärd</t>
        </is>
      </c>
      <c r="D1082" s="1" t="n">
        <v>46150</v>
      </c>
      <c r="E1082" s="1" t="n">
        <v>46311</v>
      </c>
      <c r="F1082" t="inlineStr">
        <is>
          <t>KRONOBERGS LÄN</t>
        </is>
      </c>
      <c r="G1082" t="inlineStr">
        <is>
          <t>LJUNGBY</t>
        </is>
      </c>
      <c r="I1082" t="n">
        <v>1.9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S 1348-2026</t>
        </is>
      </c>
      <c r="B1083" t="inlineStr">
        <is>
          <t>samrådsanmälan</t>
        </is>
      </c>
      <c r="C1083" t="inlineStr">
        <is>
          <t>Annan skogsbruksåtgärd</t>
        </is>
      </c>
      <c r="D1083" s="1" t="n">
        <v>46150</v>
      </c>
      <c r="E1083" s="1" t="n">
        <v>46311</v>
      </c>
      <c r="F1083" t="inlineStr">
        <is>
          <t>KRONOBERGS LÄN</t>
        </is>
      </c>
      <c r="G1083" t="inlineStr">
        <is>
          <t>LJUNGBY</t>
        </is>
      </c>
      <c r="I1083" t="n">
        <v>1.5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S 1425-2026</t>
        </is>
      </c>
      <c r="B1084" t="inlineStr">
        <is>
          <t>samrådsanmälan</t>
        </is>
      </c>
      <c r="C1084" t="inlineStr">
        <is>
          <t>Askåterföring</t>
        </is>
      </c>
      <c r="D1084" s="1" t="n">
        <v>46156</v>
      </c>
      <c r="E1084" s="1" t="n">
        <v>46311</v>
      </c>
      <c r="F1084" t="inlineStr">
        <is>
          <t>KRONOBERGS LÄN</t>
        </is>
      </c>
      <c r="G1084" t="inlineStr">
        <is>
          <t>LJUNGBY</t>
        </is>
      </c>
      <c r="I1084" t="n">
        <v>1.2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S 1458-2026</t>
        </is>
      </c>
      <c r="B1085" t="inlineStr">
        <is>
          <t>samrådsanmälan</t>
        </is>
      </c>
      <c r="C1085" t="inlineStr">
        <is>
          <t>Askåterföring</t>
        </is>
      </c>
      <c r="D1085" s="1" t="n">
        <v>46161</v>
      </c>
      <c r="E1085" s="1" t="n">
        <v>46311</v>
      </c>
      <c r="F1085" t="inlineStr">
        <is>
          <t>KRONOBERGS LÄN</t>
        </is>
      </c>
      <c r="G1085" t="inlineStr">
        <is>
          <t>LJUNGBY</t>
        </is>
      </c>
      <c r="I1085" t="n">
        <v>45.4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S 1459-2026</t>
        </is>
      </c>
      <c r="B1086" t="inlineStr">
        <is>
          <t>samrådsanmälan</t>
        </is>
      </c>
      <c r="C1086" t="inlineStr">
        <is>
          <t>Askåterföring</t>
        </is>
      </c>
      <c r="D1086" s="1" t="n">
        <v>46161</v>
      </c>
      <c r="E1086" s="1" t="n">
        <v>46311</v>
      </c>
      <c r="F1086" t="inlineStr">
        <is>
          <t>KRONOBERGS LÄN</t>
        </is>
      </c>
      <c r="G1086" t="inlineStr">
        <is>
          <t>LJUNGBY</t>
        </is>
      </c>
      <c r="I1086" t="n">
        <v>20.3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S 2003-2026</t>
        </is>
      </c>
      <c r="B1087" t="inlineStr">
        <is>
          <t>samrådsanmälan</t>
        </is>
      </c>
      <c r="C1087" t="inlineStr">
        <is>
          <t>Annan skogsbruksåtgärd</t>
        </is>
      </c>
      <c r="D1087" s="1" t="n">
        <v>46209</v>
      </c>
      <c r="E1087" s="1" t="n">
        <v>46311</v>
      </c>
      <c r="F1087" t="inlineStr">
        <is>
          <t>KRONOBERGS LÄN</t>
        </is>
      </c>
      <c r="G1087" t="inlineStr">
        <is>
          <t>LJUNGBY</t>
        </is>
      </c>
      <c r="H1087" t="inlineStr">
        <is>
          <t>Kommuner</t>
        </is>
      </c>
      <c r="I1087" t="n">
        <v>6.7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S 2411-2026</t>
        </is>
      </c>
      <c r="B1088" t="inlineStr">
        <is>
          <t>samrådsanmälan</t>
        </is>
      </c>
      <c r="C1088" t="inlineStr">
        <is>
          <t>Annan skogsbruksåtgärd</t>
        </is>
      </c>
      <c r="D1088" s="1" t="n">
        <v>46279</v>
      </c>
      <c r="E1088" s="1" t="n">
        <v>46311</v>
      </c>
      <c r="F1088" t="inlineStr">
        <is>
          <t>KRONOBERGS LÄN</t>
        </is>
      </c>
      <c r="G1088" t="inlineStr">
        <is>
          <t>LJUNGBY</t>
        </is>
      </c>
      <c r="H1088" t="inlineStr">
        <is>
          <t>Sveaskog</t>
        </is>
      </c>
      <c r="I1088" t="n">
        <v>1.5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S 2408-2026</t>
        </is>
      </c>
      <c r="B1089" t="inlineStr">
        <is>
          <t>samrådsanmälan</t>
        </is>
      </c>
      <c r="C1089" t="inlineStr">
        <is>
          <t>Annan skogsbruksåtgärd</t>
        </is>
      </c>
      <c r="D1089" s="1" t="n">
        <v>46279</v>
      </c>
      <c r="E1089" s="1" t="n">
        <v>46311</v>
      </c>
      <c r="F1089" t="inlineStr">
        <is>
          <t>KRONOBERGS LÄN</t>
        </is>
      </c>
      <c r="G1089" t="inlineStr">
        <is>
          <t>LJUNGBY</t>
        </is>
      </c>
      <c r="H1089" t="inlineStr">
        <is>
          <t>Sveaskog</t>
        </is>
      </c>
      <c r="I1089" t="n">
        <v>1.3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>
      <c r="A1090" t="inlineStr">
        <is>
          <t>S 2286-2026</t>
        </is>
      </c>
      <c r="B1090" t="inlineStr">
        <is>
          <t>samrådsanmälan</t>
        </is>
      </c>
      <c r="C1090" t="inlineStr">
        <is>
          <t>Askåterföring</t>
        </is>
      </c>
      <c r="D1090" s="1" t="n">
        <v>46266</v>
      </c>
      <c r="E1090" s="1" t="n">
        <v>46311</v>
      </c>
      <c r="F1090" t="inlineStr">
        <is>
          <t>KRONOBERGS LÄN</t>
        </is>
      </c>
      <c r="G1090" t="inlineStr">
        <is>
          <t>LJUNGBY</t>
        </is>
      </c>
      <c r="I1090" t="n">
        <v>13.4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2026-10-16T02:15:47Z</dcterms:created>
  <dcterms:modified xmlns:dcterms="http://purl.org/dc/terms/" xmlns:xsi="http://www.w3.org/2001/XMLSchema-instance" xsi:type="dcterms:W3CDTF">2026-10-16T02:15:48Z</dcterms:modified>
</cp:coreProperties>
</file>