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46312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46312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46312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46312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46312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46312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46312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46312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46312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46312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46312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46312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46312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46312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46312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46312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46312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46312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46312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46312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46312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46312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46312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46312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46312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46312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60139-2024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46312</v>
      </c>
      <c r="F38" t="inlineStr">
        <is>
          <t>KRONOBERGS LÄN</t>
        </is>
      </c>
      <c r="G38" t="inlineStr">
        <is>
          <t>LJUNGBY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Skogsalm
Blåsippa</t>
        </is>
      </c>
      <c r="W38">
        <f>HYPERLINK("https://klasma.github.io/Logging_0781/artfynd/A 60139-2024 artfynd.xlsx", "A 60139-2024")</f>
        <v/>
      </c>
      <c r="X38">
        <f>HYPERLINK("https://klasma.github.io/Logging_0781/kartor/A 60139-2024 karta.png", "A 60139-2024")</f>
        <v/>
      </c>
      <c r="Y38">
        <f>HYPERLINK("https://klasma.github.io/Logging_0781/kartor_geotiff/A 60139-2024 georefererad karta.tif", "A 60139-2024")</f>
        <v/>
      </c>
      <c r="AA38">
        <f>HYPERLINK("https://klasma.github.io/Logging_0781/klagomål/A 60139-2024 FSC-klagomål.docx", "A 60139-2024")</f>
        <v/>
      </c>
      <c r="AB38">
        <f>HYPERLINK("https://klasma.github.io/Logging_0781/klagomålsmail/A 60139-2024 FSC-klagomål mail.docx", "A 60139-2024")</f>
        <v/>
      </c>
      <c r="AC38">
        <f>HYPERLINK("https://klasma.github.io/Logging_0781/tillsyn/A 60139-2024 tillsynsbegäran.docx", "A 60139-2024")</f>
        <v/>
      </c>
      <c r="AD38">
        <f>HYPERLINK("https://klasma.github.io/Logging_0781/tillsynsmail/A 60139-2024 tillsynsbegäran mail.docx", "A 60139-2024")</f>
        <v/>
      </c>
    </row>
    <row r="39" ht="15" customHeight="1">
      <c r="A39" t="inlineStr">
        <is>
          <t>A 21869-2026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46312</v>
      </c>
      <c r="F39" t="inlineStr">
        <is>
          <t>KRONOBERGS LÄN</t>
        </is>
      </c>
      <c r="G39" t="inlineStr">
        <is>
          <t>LJUNGBY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Ängskovall</t>
        </is>
      </c>
      <c r="W39">
        <f>HYPERLINK("https://klasma.github.io/Logging_0781/artfynd/A 21869-2026 artfynd.xlsx", "A 21869-2026")</f>
        <v/>
      </c>
      <c r="X39">
        <f>HYPERLINK("https://klasma.github.io/Logging_0781/kartor/A 21869-2026 karta.png", "A 21869-2026")</f>
        <v/>
      </c>
      <c r="Y39">
        <f>HYPERLINK("https://klasma.github.io/Logging_0781/kartor_geotiff/A 21869-2026 georefererad karta.tif", "A 21869-2026")</f>
        <v/>
      </c>
      <c r="AA39">
        <f>HYPERLINK("https://klasma.github.io/Logging_0781/klagomål/A 21869-2026 FSC-klagomål.docx", "A 21869-2026")</f>
        <v/>
      </c>
      <c r="AB39">
        <f>HYPERLINK("https://klasma.github.io/Logging_0781/klagomålsmail/A 21869-2026 FSC-klagomål mail.docx", "A 21869-2026")</f>
        <v/>
      </c>
      <c r="AC39">
        <f>HYPERLINK("https://klasma.github.io/Logging_0781/tillsyn/A 21869-2026 tillsynsbegäran.docx", "A 21869-2026")</f>
        <v/>
      </c>
      <c r="AD39">
        <f>HYPERLINK("https://klasma.github.io/Logging_0781/tillsynsmail/A 21869-2026 tillsynsbegäran mail.docx", "A 21869-2026")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46312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46312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46312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54956-2023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45236</v>
      </c>
      <c r="E43" s="1" t="n">
        <v>46312</v>
      </c>
      <c r="F43" t="inlineStr">
        <is>
          <t>KRONOBERGS LÄN</t>
        </is>
      </c>
      <c r="G43" t="inlineStr">
        <is>
          <t>LJUNGBY</t>
        </is>
      </c>
      <c r="I43" t="n">
        <v>19.8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Talltita</t>
        </is>
      </c>
      <c r="W43">
        <f>HYPERLINK("https://klasma.github.io/Logging_0781/artfynd/A 54956-2023 artfynd.xlsx", "A 54956-2023")</f>
        <v/>
      </c>
      <c r="X43">
        <f>HYPERLINK("https://klasma.github.io/Logging_0781/kartor/A 54956-2023 karta.png", "A 54956-2023")</f>
        <v/>
      </c>
      <c r="Y43">
        <f>HYPERLINK("https://klasma.github.io/Logging_0781/kartor_geotiff/A 54956-2023 georefererad karta.tif", "A 54956-2023")</f>
        <v/>
      </c>
      <c r="AA43">
        <f>HYPERLINK("https://klasma.github.io/Logging_0781/klagomål/A 54956-2023 FSC-klagomål.docx", "A 54956-2023")</f>
        <v/>
      </c>
      <c r="AB43">
        <f>HYPERLINK("https://klasma.github.io/Logging_0781/klagomålsmail/A 54956-2023 FSC-klagomål mail.docx", "A 54956-2023")</f>
        <v/>
      </c>
      <c r="AC43">
        <f>HYPERLINK("https://klasma.github.io/Logging_0781/tillsyn/A 54956-2023 tillsynsbegäran.docx", "A 54956-2023")</f>
        <v/>
      </c>
      <c r="AD43">
        <f>HYPERLINK("https://klasma.github.io/Logging_0781/tillsynsmail/A 54956-2023 tillsynsbegäran mail.docx", "A 54956-2023")</f>
        <v/>
      </c>
      <c r="AE43">
        <f>HYPERLINK("https://klasma.github.io/Logging_0781/fåglar/A 54956-2023 prioriterade fågelarter.docx", "A 54956-2023")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46312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46312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46312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46312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46312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46312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46312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46312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46312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46312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46312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46312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46312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46312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46312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46312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46312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46312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46312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46312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46312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46312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46312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46312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46312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46312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46312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46312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46312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46312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46312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26064-2025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46312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Brunpudrad nållav</t>
        </is>
      </c>
      <c r="W88">
        <f>HYPERLINK("https://klasma.github.io/Logging_0781/artfynd/A 26064-2025 artfynd.xlsx", "A 26064-2025")</f>
        <v/>
      </c>
      <c r="X88">
        <f>HYPERLINK("https://klasma.github.io/Logging_0781/kartor/A 26064-2025 karta.png", "A 26064-2025")</f>
        <v/>
      </c>
      <c r="Y88">
        <f>HYPERLINK("https://klasma.github.io/Logging_0781/kartor_geotiff/A 26064-2025 georefererad karta.tif", "A 26064-2025")</f>
        <v/>
      </c>
      <c r="AA88">
        <f>HYPERLINK("https://klasma.github.io/Logging_0781/klagomål/A 26064-2025 FSC-klagomål.docx", "A 26064-2025")</f>
        <v/>
      </c>
      <c r="AB88">
        <f>HYPERLINK("https://klasma.github.io/Logging_0781/klagomålsmail/A 26064-2025 FSC-klagomål mail.docx", "A 26064-2025")</f>
        <v/>
      </c>
      <c r="AC88">
        <f>HYPERLINK("https://klasma.github.io/Logging_0781/tillsyn/A 26064-2025 tillsynsbegäran.docx", "A 26064-2025")</f>
        <v/>
      </c>
      <c r="AD88">
        <f>HYPERLINK("https://klasma.github.io/Logging_0781/tillsynsmail/A 26064-2025 tillsynsbegäran mail.docx", "A 26064-2025")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46312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49087-2025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46312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HYPERLINK("https://klasma.github.io/Logging_0781/artfynd/A 49087-2025 artfynd.xlsx", "A 49087-2025")</f>
        <v/>
      </c>
      <c r="X90">
        <f>HYPERLINK("https://klasma.github.io/Logging_0781/kartor/A 49087-2025 karta.png", "A 49087-2025")</f>
        <v/>
      </c>
      <c r="Y90">
        <f>HYPERLINK("https://klasma.github.io/Logging_0781/kartor_geotiff/A 49087-2025 georefererad karta.tif", "A 49087-2025")</f>
        <v/>
      </c>
      <c r="AA90">
        <f>HYPERLINK("https://klasma.github.io/Logging_0781/klagomål/A 49087-2025 FSC-klagomål.docx", "A 49087-2025")</f>
        <v/>
      </c>
      <c r="AB90">
        <f>HYPERLINK("https://klasma.github.io/Logging_0781/klagomålsmail/A 49087-2025 FSC-klagomål mail.docx", "A 49087-2025")</f>
        <v/>
      </c>
      <c r="AC90">
        <f>HYPERLINK("https://klasma.github.io/Logging_0781/tillsyn/A 49087-2025 tillsynsbegäran.docx", "A 49087-2025")</f>
        <v/>
      </c>
      <c r="AD90">
        <f>HYPERLINK("https://klasma.github.io/Logging_0781/tillsynsmail/A 49087-2025 tillsynsbegäran mail.docx", "A 49087-2025")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46312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46312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Spindelblomster</t>
        </is>
      </c>
      <c r="W92">
        <f>HYPERLINK("https://klasma.github.io/Logging_0781/artfynd/A 9911-2023 artfynd.xlsx", "A 9911-2023")</f>
        <v/>
      </c>
      <c r="X92">
        <f>HYPERLINK("https://klasma.github.io/Logging_0781/kartor/A 9911-2023 karta.png", "A 9911-2023")</f>
        <v/>
      </c>
      <c r="Y92">
        <f>HYPERLINK("https://klasma.github.io/Logging_0781/kartor_geotiff/A 9911-2023 georefererad karta.tif", "A 9911-2023")</f>
        <v/>
      </c>
      <c r="AA92">
        <f>HYPERLINK("https://klasma.github.io/Logging_0781/klagomål/A 9911-2023 FSC-klagomål.docx", "A 9911-2023")</f>
        <v/>
      </c>
      <c r="AB92">
        <f>HYPERLINK("https://klasma.github.io/Logging_0781/klagomålsmail/A 9911-2023 FSC-klagomål mail.docx", "A 9911-2023")</f>
        <v/>
      </c>
      <c r="AC92">
        <f>HYPERLINK("https://klasma.github.io/Logging_0781/tillsyn/A 9911-2023 tillsynsbegäran.docx", "A 9911-2023")</f>
        <v/>
      </c>
      <c r="AD92">
        <f>HYPERLINK("https://klasma.github.io/Logging_0781/tillsynsmail/A 9911-2023 tillsynsbegäran mail.docx", "A 9911-2023")</f>
        <v/>
      </c>
    </row>
    <row r="93" ht="15" customHeight="1">
      <c r="A93" t="inlineStr">
        <is>
          <t>A 56742-2025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46312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Granbräken</t>
        </is>
      </c>
      <c r="W93">
        <f>HYPERLINK("https://klasma.github.io/Logging_0781/artfynd/A 56742-2025 artfynd.xlsx", "A 56742-2025")</f>
        <v/>
      </c>
      <c r="X93">
        <f>HYPERLINK("https://klasma.github.io/Logging_0781/kartor/A 56742-2025 karta.png", "A 56742-2025")</f>
        <v/>
      </c>
      <c r="Y93">
        <f>HYPERLINK("https://klasma.github.io/Logging_0781/kartor_geotiff/A 56742-2025 georefererad karta.tif", "A 56742-2025")</f>
        <v/>
      </c>
      <c r="AA93">
        <f>HYPERLINK("https://klasma.github.io/Logging_0781/klagomål/A 56742-2025 FSC-klagomål.docx", "A 56742-2025")</f>
        <v/>
      </c>
      <c r="AB93">
        <f>HYPERLINK("https://klasma.github.io/Logging_0781/klagomålsmail/A 56742-2025 FSC-klagomål mail.docx", "A 56742-2025")</f>
        <v/>
      </c>
      <c r="AC93">
        <f>HYPERLINK("https://klasma.github.io/Logging_0781/tillsyn/A 56742-2025 tillsynsbegäran.docx", "A 56742-2025")</f>
        <v/>
      </c>
      <c r="AD93">
        <f>HYPERLINK("https://klasma.github.io/Logging_0781/tillsynsmail/A 56742-2025 tillsynsbegäran mail.docx", "A 56742-2025")</f>
        <v/>
      </c>
    </row>
    <row r="94" ht="15" customHeight="1">
      <c r="A94" t="inlineStr">
        <is>
          <t>A 62026-2023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46312</v>
      </c>
      <c r="F94" t="inlineStr">
        <is>
          <t>KRONOBERGS LÄN</t>
        </is>
      </c>
      <c r="G94" t="inlineStr">
        <is>
          <t>LJUNGBY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62026-2023 artfynd.xlsx", "A 62026-2023")</f>
        <v/>
      </c>
      <c r="X94">
        <f>HYPERLINK("https://klasma.github.io/Logging_0781/kartor/A 62026-2023 karta.png", "A 62026-2023")</f>
        <v/>
      </c>
      <c r="Y94">
        <f>HYPERLINK("https://klasma.github.io/Logging_0781/kartor_geotiff/A 62026-2023 georefererad karta.tif", "A 62026-2023")</f>
        <v/>
      </c>
      <c r="AA94">
        <f>HYPERLINK("https://klasma.github.io/Logging_0781/klagomål/A 62026-2023 FSC-klagomål.docx", "A 62026-2023")</f>
        <v/>
      </c>
      <c r="AB94">
        <f>HYPERLINK("https://klasma.github.io/Logging_0781/klagomålsmail/A 62026-2023 FSC-klagomål mail.docx", "A 62026-2023")</f>
        <v/>
      </c>
      <c r="AC94">
        <f>HYPERLINK("https://klasma.github.io/Logging_0781/tillsyn/A 62026-2023 tillsynsbegäran.docx", "A 62026-2023")</f>
        <v/>
      </c>
      <c r="AD94">
        <f>HYPERLINK("https://klasma.github.io/Logging_0781/tillsynsmail/A 62026-2023 tillsynsbegäran mail.docx", "A 62026-2023")</f>
        <v/>
      </c>
      <c r="AE94">
        <f>HYPERLINK("https://klasma.github.io/Logging_0781/fåglar/A 62026-2023 prioriterade fågelarter.docx", "A 62026-2023")</f>
        <v/>
      </c>
    </row>
    <row r="95" ht="15" customHeight="1">
      <c r="A95" t="inlineStr">
        <is>
          <t>A 40088-2022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46312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Stor hagfibbla</t>
        </is>
      </c>
      <c r="W95">
        <f>HYPERLINK("https://klasma.github.io/Logging_0781/artfynd/A 40088-2022 artfynd.xlsx", "A 40088-2022")</f>
        <v/>
      </c>
      <c r="X95">
        <f>HYPERLINK("https://klasma.github.io/Logging_0781/kartor/A 40088-2022 karta.png", "A 40088-2022")</f>
        <v/>
      </c>
      <c r="Y95">
        <f>HYPERLINK("https://klasma.github.io/Logging_0781/kartor_geotiff/A 40088-2022 georefererad karta.tif", "A 40088-2022")</f>
        <v/>
      </c>
      <c r="AA95">
        <f>HYPERLINK("https://klasma.github.io/Logging_0781/klagomål/A 40088-2022 FSC-klagomål.docx", "A 40088-2022")</f>
        <v/>
      </c>
      <c r="AB95">
        <f>HYPERLINK("https://klasma.github.io/Logging_0781/klagomålsmail/A 40088-2022 FSC-klagomål mail.docx", "A 40088-2022")</f>
        <v/>
      </c>
      <c r="AC95">
        <f>HYPERLINK("https://klasma.github.io/Logging_0781/tillsyn/A 40088-2022 tillsynsbegäran.docx", "A 40088-2022")</f>
        <v/>
      </c>
      <c r="AD95">
        <f>HYPERLINK("https://klasma.github.io/Logging_0781/tillsynsmail/A 40088-2022 tillsynsbegäran mail.docx", "A 40088-2022")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46312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54002-2025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46312</v>
      </c>
      <c r="F97" t="inlineStr">
        <is>
          <t>KRONOBERGS LÄN</t>
        </is>
      </c>
      <c r="G97" t="inlineStr">
        <is>
          <t>LJUNGBY</t>
        </is>
      </c>
      <c r="I97" t="n">
        <v>1.2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Rostfläck</t>
        </is>
      </c>
      <c r="W97">
        <f>HYPERLINK("https://klasma.github.io/Logging_0781/artfynd/A 54002-2025 artfynd.xlsx", "A 54002-2025")</f>
        <v/>
      </c>
      <c r="X97">
        <f>HYPERLINK("https://klasma.github.io/Logging_0781/kartor/A 54002-2025 karta.png", "A 54002-2025")</f>
        <v/>
      </c>
      <c r="Y97">
        <f>HYPERLINK("https://klasma.github.io/Logging_0781/kartor_geotiff/A 54002-2025 georefererad karta.tif", "A 54002-2025")</f>
        <v/>
      </c>
      <c r="AA97">
        <f>HYPERLINK("https://klasma.github.io/Logging_0781/klagomål/A 54002-2025 FSC-klagomål.docx", "A 54002-2025")</f>
        <v/>
      </c>
      <c r="AB97">
        <f>HYPERLINK("https://klasma.github.io/Logging_0781/klagomålsmail/A 54002-2025 FSC-klagomål mail.docx", "A 54002-2025")</f>
        <v/>
      </c>
      <c r="AC97">
        <f>HYPERLINK("https://klasma.github.io/Logging_0781/tillsyn/A 54002-2025 tillsynsbegäran.docx", "A 54002-2025")</f>
        <v/>
      </c>
      <c r="AD97">
        <f>HYPERLINK("https://klasma.github.io/Logging_0781/tillsynsmail/A 54002-2025 tillsynsbegäran mail.docx", "A 54002-2025")</f>
        <v/>
      </c>
    </row>
    <row r="98" ht="15" customHeight="1">
      <c r="A98" t="inlineStr">
        <is>
          <t>A 13387-2022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46312</v>
      </c>
      <c r="F98" t="inlineStr">
        <is>
          <t>KRONOBERGS LÄN</t>
        </is>
      </c>
      <c r="G98" t="inlineStr">
        <is>
          <t>LJUNGBY</t>
        </is>
      </c>
      <c r="I98" t="n">
        <v>1.4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13387-2022 artfynd.xlsx", "A 13387-2022")</f>
        <v/>
      </c>
      <c r="X98">
        <f>HYPERLINK("https://klasma.github.io/Logging_0781/kartor/A 13387-2022 karta.png", "A 13387-2022")</f>
        <v/>
      </c>
      <c r="Y98">
        <f>HYPERLINK("https://klasma.github.io/Logging_0781/kartor_geotiff/A 13387-2022 georefererad karta.tif", "A 13387-2022")</f>
        <v/>
      </c>
      <c r="AA98">
        <f>HYPERLINK("https://klasma.github.io/Logging_0781/klagomål/A 13387-2022 FSC-klagomål.docx", "A 13387-2022")</f>
        <v/>
      </c>
      <c r="AB98">
        <f>HYPERLINK("https://klasma.github.io/Logging_0781/klagomålsmail/A 13387-2022 FSC-klagomål mail.docx", "A 13387-2022")</f>
        <v/>
      </c>
      <c r="AC98">
        <f>HYPERLINK("https://klasma.github.io/Logging_0781/tillsyn/A 13387-2022 tillsynsbegäran.docx", "A 13387-2022")</f>
        <v/>
      </c>
      <c r="AD98">
        <f>HYPERLINK("https://klasma.github.io/Logging_0781/tillsynsmail/A 13387-2022 tillsynsbegäran mail.docx", "A 13387-2022")</f>
        <v/>
      </c>
    </row>
    <row r="99" ht="15" customHeight="1">
      <c r="A99" t="inlineStr">
        <is>
          <t>A 2159-2025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46312</v>
      </c>
      <c r="F99" t="inlineStr">
        <is>
          <t>KRONOBERGS LÄN</t>
        </is>
      </c>
      <c r="G99" t="inlineStr">
        <is>
          <t>LJUNGBY</t>
        </is>
      </c>
      <c r="I99" t="n">
        <v>3.6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Slåttergubbe</t>
        </is>
      </c>
      <c r="W99">
        <f>HYPERLINK("https://klasma.github.io/Logging_0781/artfynd/A 2159-2025 artfynd.xlsx", "A 2159-2025")</f>
        <v/>
      </c>
      <c r="X99">
        <f>HYPERLINK("https://klasma.github.io/Logging_0781/kartor/A 2159-2025 karta.png", "A 2159-2025")</f>
        <v/>
      </c>
      <c r="Y99">
        <f>HYPERLINK("https://klasma.github.io/Logging_0781/kartor_geotiff/A 2159-2025 georefererad karta.tif", "A 2159-2025")</f>
        <v/>
      </c>
      <c r="AA99">
        <f>HYPERLINK("https://klasma.github.io/Logging_0781/klagomål/A 2159-2025 FSC-klagomål.docx", "A 2159-2025")</f>
        <v/>
      </c>
      <c r="AB99">
        <f>HYPERLINK("https://klasma.github.io/Logging_0781/klagomålsmail/A 2159-2025 FSC-klagomål mail.docx", "A 2159-2025")</f>
        <v/>
      </c>
      <c r="AC99">
        <f>HYPERLINK("https://klasma.github.io/Logging_0781/tillsyn/A 2159-2025 tillsynsbegäran.docx", "A 2159-2025")</f>
        <v/>
      </c>
      <c r="AD99">
        <f>HYPERLINK("https://klasma.github.io/Logging_0781/tillsynsmail/A 2159-2025 tillsynsbegäran mail.docx", "A 2159-2025")</f>
        <v/>
      </c>
    </row>
    <row r="100" ht="15" customHeight="1">
      <c r="A100" t="inlineStr">
        <is>
          <t>A 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46312</v>
      </c>
      <c r="F100" t="inlineStr">
        <is>
          <t>KRONOBERGS LÄN</t>
        </is>
      </c>
      <c r="G100" t="inlineStr">
        <is>
          <t>LJUNGBY</t>
        </is>
      </c>
      <c r="I100" t="n">
        <v>1.9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205-2023 artfynd.xlsx", "A 205-2023")</f>
        <v/>
      </c>
      <c r="X100">
        <f>HYPERLINK("https://klasma.github.io/Logging_0781/kartor/A 205-2023 karta.png", "A 205-2023")</f>
        <v/>
      </c>
      <c r="Y100">
        <f>HYPERLINK("https://klasma.github.io/Logging_0781/kartor_geotiff/A 205-2023 georefererad karta.tif", "A 205-2023")</f>
        <v/>
      </c>
      <c r="AA100">
        <f>HYPERLINK("https://klasma.github.io/Logging_0781/klagomål/A 205-2023 FSC-klagomål.docx", "A 205-2023")</f>
        <v/>
      </c>
      <c r="AB100">
        <f>HYPERLINK("https://klasma.github.io/Logging_0781/klagomålsmail/A 205-2023 FSC-klagomål mail.docx", "A 205-2023")</f>
        <v/>
      </c>
      <c r="AC100">
        <f>HYPERLINK("https://klasma.github.io/Logging_0781/tillsyn/A 205-2023 tillsynsbegäran.docx", "A 205-2023")</f>
        <v/>
      </c>
      <c r="AD100">
        <f>HYPERLINK("https://klasma.github.io/Logging_0781/tillsynsmail/A 205-2023 tillsynsbegäran mail.docx", "A 205-2023")</f>
        <v/>
      </c>
    </row>
    <row r="101" ht="15" customHeight="1">
      <c r="A101" t="inlineStr">
        <is>
          <t>A 25241-2023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45079</v>
      </c>
      <c r="E101" s="1" t="n">
        <v>46312</v>
      </c>
      <c r="F101" t="inlineStr">
        <is>
          <t>KRONOBERGS LÄN</t>
        </is>
      </c>
      <c r="G101" t="inlineStr">
        <is>
          <t>LJUNGBY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Mattlummer</t>
        </is>
      </c>
      <c r="W101">
        <f>HYPERLINK("https://klasma.github.io/Logging_0781/artfynd/A 25241-2023 artfynd.xlsx", "A 25241-2023")</f>
        <v/>
      </c>
      <c r="X101">
        <f>HYPERLINK("https://klasma.github.io/Logging_0781/kartor/A 25241-2023 karta.png", "A 25241-2023")</f>
        <v/>
      </c>
      <c r="Y101">
        <f>HYPERLINK("https://klasma.github.io/Logging_0781/kartor_geotiff/A 25241-2023 georefererad karta.tif", "A 25241-2023")</f>
        <v/>
      </c>
      <c r="AA101">
        <f>HYPERLINK("https://klasma.github.io/Logging_0781/klagomål/A 25241-2023 FSC-klagomål.docx", "A 25241-2023")</f>
        <v/>
      </c>
      <c r="AB101">
        <f>HYPERLINK("https://klasma.github.io/Logging_0781/klagomålsmail/A 25241-2023 FSC-klagomål mail.docx", "A 25241-2023")</f>
        <v/>
      </c>
      <c r="AC101">
        <f>HYPERLINK("https://klasma.github.io/Logging_0781/tillsyn/A 25241-2023 tillsynsbegäran.docx", "A 25241-2023")</f>
        <v/>
      </c>
      <c r="AD101">
        <f>HYPERLINK("https://klasma.github.io/Logging_0781/tillsynsmail/A 25241-2023 tillsynsbegäran mail.docx", "A 25241-2023")</f>
        <v/>
      </c>
    </row>
    <row r="102" ht="15" customHeight="1">
      <c r="A102" t="inlineStr">
        <is>
          <t>A 48152-2023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46312</v>
      </c>
      <c r="F102" t="inlineStr">
        <is>
          <t>KRONOBERGS LÄN</t>
        </is>
      </c>
      <c r="G102" t="inlineStr">
        <is>
          <t>LJUNGBY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HYPERLINK("https://klasma.github.io/Logging_0781/artfynd/A 48152-2023 artfynd.xlsx", "A 48152-2023")</f>
        <v/>
      </c>
      <c r="X102">
        <f>HYPERLINK("https://klasma.github.io/Logging_0781/kartor/A 48152-2023 karta.png", "A 48152-2023")</f>
        <v/>
      </c>
      <c r="Y102">
        <f>HYPERLINK("https://klasma.github.io/Logging_0781/kartor_geotiff/A 48152-2023 georefererad karta.tif", "A 48152-2023")</f>
        <v/>
      </c>
      <c r="AA102">
        <f>HYPERLINK("https://klasma.github.io/Logging_0781/klagomål/A 48152-2023 FSC-klagomål.docx", "A 48152-2023")</f>
        <v/>
      </c>
      <c r="AB102">
        <f>HYPERLINK("https://klasma.github.io/Logging_0781/klagomålsmail/A 48152-2023 FSC-klagomål mail.docx", "A 48152-2023")</f>
        <v/>
      </c>
      <c r="AC102">
        <f>HYPERLINK("https://klasma.github.io/Logging_0781/tillsyn/A 48152-2023 tillsynsbegäran.docx", "A 48152-2023")</f>
        <v/>
      </c>
      <c r="AD102">
        <f>HYPERLINK("https://klasma.github.io/Logging_0781/tillsynsmail/A 48152-2023 tillsynsbegäran mail.docx", "A 48152-2023")</f>
        <v/>
      </c>
      <c r="AE102">
        <f>HYPERLINK("https://klasma.github.io/Logging_0781/fåglar/A 48152-2023 prioriterade fågelarter.docx", "A 48152-2023")</f>
        <v/>
      </c>
    </row>
    <row r="103" ht="15" customHeight="1">
      <c r="A103" t="inlineStr">
        <is>
          <t>A 4467-2025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46312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HYPERLINK("https://klasma.github.io/Logging_0781/artfynd/A 4467-2025 artfynd.xlsx", "A 4467-2025")</f>
        <v/>
      </c>
      <c r="X103">
        <f>HYPERLINK("https://klasma.github.io/Logging_0781/kartor/A 4467-2025 karta.png", "A 4467-2025")</f>
        <v/>
      </c>
      <c r="Y103">
        <f>HYPERLINK("https://klasma.github.io/Logging_0781/kartor_geotiff/A 4467-2025 georefererad karta.tif", "A 4467-2025")</f>
        <v/>
      </c>
      <c r="AA103">
        <f>HYPERLINK("https://klasma.github.io/Logging_0781/klagomål/A 4467-2025 FSC-klagomål.docx", "A 4467-2025")</f>
        <v/>
      </c>
      <c r="AB103">
        <f>HYPERLINK("https://klasma.github.io/Logging_0781/klagomålsmail/A 4467-2025 FSC-klagomål mail.docx", "A 4467-2025")</f>
        <v/>
      </c>
      <c r="AC103">
        <f>HYPERLINK("https://klasma.github.io/Logging_0781/tillsyn/A 4467-2025 tillsynsbegäran.docx", "A 4467-2025")</f>
        <v/>
      </c>
      <c r="AD103">
        <f>HYPERLINK("https://klasma.github.io/Logging_0781/tillsynsmail/A 4467-2025 tillsynsbegäran mail.docx", "A 4467-2025")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46312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Tofsmes</t>
        </is>
      </c>
      <c r="W104">
        <f>HYPERLINK("https://klasma.github.io/Logging_0781/artfynd/A 15671-2026 artfynd.xlsx", "A 15671-2026")</f>
        <v/>
      </c>
      <c r="X104">
        <f>HYPERLINK("https://klasma.github.io/Logging_0781/kartor/A 15671-2026 karta.png", "A 15671-2026")</f>
        <v/>
      </c>
      <c r="Y104">
        <f>HYPERLINK("https://klasma.github.io/Logging_0781/kartor_geotiff/A 15671-2026 georefererad karta.tif", "A 15671-2026")</f>
        <v/>
      </c>
      <c r="AA104">
        <f>HYPERLINK("https://klasma.github.io/Logging_0781/klagomål/A 15671-2026 FSC-klagomål.docx", "A 15671-2026")</f>
        <v/>
      </c>
      <c r="AB104">
        <f>HYPERLINK("https://klasma.github.io/Logging_0781/klagomålsmail/A 15671-2026 FSC-klagomål mail.docx", "A 15671-2026")</f>
        <v/>
      </c>
      <c r="AC104">
        <f>HYPERLINK("https://klasma.github.io/Logging_0781/tillsyn/A 15671-2026 tillsynsbegäran.docx", "A 15671-2026")</f>
        <v/>
      </c>
      <c r="AD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46312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64830-2023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46312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64830-2023 artfynd.xlsx", "A 64830-2023")</f>
        <v/>
      </c>
      <c r="X106">
        <f>HYPERLINK("https://klasma.github.io/Logging_0781/kartor/A 64830-2023 karta.png", "A 64830-2023")</f>
        <v/>
      </c>
      <c r="Y106">
        <f>HYPERLINK("https://klasma.github.io/Logging_0781/kartor_geotiff/A 64830-2023 georefererad karta.tif", "A 64830-2023")</f>
        <v/>
      </c>
      <c r="AA106">
        <f>HYPERLINK("https://klasma.github.io/Logging_0781/klagomål/A 64830-2023 FSC-klagomål.docx", "A 64830-2023")</f>
        <v/>
      </c>
      <c r="AB106">
        <f>HYPERLINK("https://klasma.github.io/Logging_0781/klagomålsmail/A 64830-2023 FSC-klagomål mail.docx", "A 64830-2023")</f>
        <v/>
      </c>
      <c r="AC106">
        <f>HYPERLINK("https://klasma.github.io/Logging_0781/tillsyn/A 64830-2023 tillsynsbegäran.docx", "A 64830-2023")</f>
        <v/>
      </c>
      <c r="AD106">
        <f>HYPERLINK("https://klasma.github.io/Logging_0781/tillsynsmail/A 64830-2023 tillsynsbegäran mail.docx", "A 64830-2023")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46312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5614-2024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46312</v>
      </c>
      <c r="F108" t="inlineStr">
        <is>
          <t>KRONOBERGS LÄN</t>
        </is>
      </c>
      <c r="G108" t="inlineStr">
        <is>
          <t>LJUNGBY</t>
        </is>
      </c>
      <c r="H108" t="inlineStr">
        <is>
          <t>Kommuner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HYPERLINK("https://klasma.github.io/Logging_0781/artfynd/A 5614-2024 artfynd.xlsx", "A 5614-2024")</f>
        <v/>
      </c>
      <c r="X108">
        <f>HYPERLINK("https://klasma.github.io/Logging_0781/kartor/A 5614-2024 karta.png", "A 5614-2024")</f>
        <v/>
      </c>
      <c r="Y108">
        <f>HYPERLINK("https://klasma.github.io/Logging_0781/kartor_geotiff/A 5614-2024 georefererad karta.tif", "A 5614-2024")</f>
        <v/>
      </c>
      <c r="AA108">
        <f>HYPERLINK("https://klasma.github.io/Logging_0781/klagomål/A 5614-2024 FSC-klagomål.docx", "A 5614-2024")</f>
        <v/>
      </c>
      <c r="AB108">
        <f>HYPERLINK("https://klasma.github.io/Logging_0781/klagomålsmail/A 5614-2024 FSC-klagomål mail.docx", "A 5614-2024")</f>
        <v/>
      </c>
      <c r="AC108">
        <f>HYPERLINK("https://klasma.github.io/Logging_0781/tillsyn/A 5614-2024 tillsynsbegäran.docx", "A 5614-2024")</f>
        <v/>
      </c>
      <c r="AD108">
        <f>HYPERLINK("https://klasma.github.io/Logging_0781/tillsynsmail/A 5614-2024 tillsynsbegäran mail.docx", "A 5614-2024")</f>
        <v/>
      </c>
    </row>
    <row r="109" ht="15" customHeight="1">
      <c r="A109" t="inlineStr">
        <is>
          <t>A 13460-2023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46312</v>
      </c>
      <c r="F109" t="inlineStr">
        <is>
          <t>KRONOBERGS LÄN</t>
        </is>
      </c>
      <c r="G109" t="inlineStr">
        <is>
          <t>LJUNGBY</t>
        </is>
      </c>
      <c r="I109" t="n">
        <v>5.1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HYPERLINK("https://klasma.github.io/Logging_0781/artfynd/A 13460-2023 artfynd.xlsx", "A 13460-2023")</f>
        <v/>
      </c>
      <c r="X109">
        <f>HYPERLINK("https://klasma.github.io/Logging_0781/kartor/A 13460-2023 karta.png", "A 13460-2023")</f>
        <v/>
      </c>
      <c r="Y109">
        <f>HYPERLINK("https://klasma.github.io/Logging_0781/kartor_geotiff/A 13460-2023 georefererad karta.tif", "A 13460-2023")</f>
        <v/>
      </c>
      <c r="AA109">
        <f>HYPERLINK("https://klasma.github.io/Logging_0781/klagomål/A 13460-2023 FSC-klagomål.docx", "A 13460-2023")</f>
        <v/>
      </c>
      <c r="AB109">
        <f>HYPERLINK("https://klasma.github.io/Logging_0781/klagomålsmail/A 13460-2023 FSC-klagomål mail.docx", "A 13460-2023")</f>
        <v/>
      </c>
      <c r="AC109">
        <f>HYPERLINK("https://klasma.github.io/Logging_0781/tillsyn/A 13460-2023 tillsynsbegäran.docx", "A 13460-2023")</f>
        <v/>
      </c>
      <c r="AD109">
        <f>HYPERLINK("https://klasma.github.io/Logging_0781/tillsynsmail/A 13460-2023 tillsynsbegäran mail.docx", "A 13460-2023")</f>
        <v/>
      </c>
      <c r="AE109">
        <f>HYPERLINK("https://klasma.github.io/Logging_0781/fåglar/A 13460-2023 prioriterade fågelarter.docx", "A 13460-2023")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46312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57750-2023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46312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Svart skogssnigel</t>
        </is>
      </c>
      <c r="W111">
        <f>HYPERLINK("https://klasma.github.io/Logging_0781/artfynd/A 57750-2023 artfynd.xlsx", "A 57750-2023")</f>
        <v/>
      </c>
      <c r="X111">
        <f>HYPERLINK("https://klasma.github.io/Logging_0781/kartor/A 57750-2023 karta.png", "A 57750-2023")</f>
        <v/>
      </c>
      <c r="Y111">
        <f>HYPERLINK("https://klasma.github.io/Logging_0781/kartor_geotiff/A 57750-2023 georefererad karta.tif", "A 57750-2023")</f>
        <v/>
      </c>
      <c r="AA111">
        <f>HYPERLINK("https://klasma.github.io/Logging_0781/klagomål/A 57750-2023 FSC-klagomål.docx", "A 57750-2023")</f>
        <v/>
      </c>
      <c r="AB111">
        <f>HYPERLINK("https://klasma.github.io/Logging_0781/klagomålsmail/A 57750-2023 FSC-klagomål mail.docx", "A 57750-2023")</f>
        <v/>
      </c>
      <c r="AC111">
        <f>HYPERLINK("https://klasma.github.io/Logging_0781/tillsyn/A 57750-2023 tillsynsbegäran.docx", "A 57750-2023")</f>
        <v/>
      </c>
      <c r="AD111">
        <f>HYPERLINK("https://klasma.github.io/Logging_0781/tillsynsmail/A 57750-2023 tillsynsbegäran mail.docx", "A 57750-2023")</f>
        <v/>
      </c>
    </row>
    <row r="112" ht="15" customHeight="1">
      <c r="A112" t="inlineStr">
        <is>
          <t>A 40560-2024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46312</v>
      </c>
      <c r="F112" t="inlineStr">
        <is>
          <t>KRONOBERGS LÄN</t>
        </is>
      </c>
      <c r="G112" t="inlineStr">
        <is>
          <t>LJUNGBY</t>
        </is>
      </c>
      <c r="I112" t="n">
        <v>3.4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40560-2024 artfynd.xlsx", "A 40560-2024")</f>
        <v/>
      </c>
      <c r="X112">
        <f>HYPERLINK("https://klasma.github.io/Logging_0781/kartor/A 40560-2024 karta.png", "A 40560-2024")</f>
        <v/>
      </c>
      <c r="Y112">
        <f>HYPERLINK("https://klasma.github.io/Logging_0781/kartor_geotiff/A 40560-2024 georefererad karta.tif", "A 40560-2024")</f>
        <v/>
      </c>
      <c r="AA112">
        <f>HYPERLINK("https://klasma.github.io/Logging_0781/klagomål/A 40560-2024 FSC-klagomål.docx", "A 40560-2024")</f>
        <v/>
      </c>
      <c r="AB112">
        <f>HYPERLINK("https://klasma.github.io/Logging_0781/klagomålsmail/A 40560-2024 FSC-klagomål mail.docx", "A 40560-2024")</f>
        <v/>
      </c>
      <c r="AC112">
        <f>HYPERLINK("https://klasma.github.io/Logging_0781/tillsyn/A 40560-2024 tillsynsbegäran.docx", "A 40560-2024")</f>
        <v/>
      </c>
      <c r="AD112">
        <f>HYPERLINK("https://klasma.github.io/Logging_0781/tillsynsmail/A 40560-2024 tillsynsbegäran mail.docx", "A 40560-2024")</f>
        <v/>
      </c>
      <c r="AE112">
        <f>HYPERLINK("https://klasma.github.io/Logging_0781/fåglar/A 40560-2024 prioriterade fågelarter.docx", "A 40560-2024")</f>
        <v/>
      </c>
    </row>
    <row r="113" ht="15" customHeight="1">
      <c r="A113" t="inlineStr">
        <is>
          <t>A 21039-2023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45061</v>
      </c>
      <c r="E113" s="1" t="n">
        <v>46312</v>
      </c>
      <c r="F113" t="inlineStr">
        <is>
          <t>KRONOBERGS LÄN</t>
        </is>
      </c>
      <c r="G113" t="inlineStr">
        <is>
          <t>LJUNGBY</t>
        </is>
      </c>
      <c r="I113" t="n">
        <v>4.3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Fläcknycklar</t>
        </is>
      </c>
      <c r="W113">
        <f>HYPERLINK("https://klasma.github.io/Logging_0781/artfynd/A 21039-2023 artfynd.xlsx", "A 21039-2023")</f>
        <v/>
      </c>
      <c r="X113">
        <f>HYPERLINK("https://klasma.github.io/Logging_0781/kartor/A 21039-2023 karta.png", "A 21039-2023")</f>
        <v/>
      </c>
      <c r="Y113">
        <f>HYPERLINK("https://klasma.github.io/Logging_0781/kartor_geotiff/A 21039-2023 georefererad karta.tif", "A 21039-2023")</f>
        <v/>
      </c>
      <c r="AA113">
        <f>HYPERLINK("https://klasma.github.io/Logging_0781/klagomål/A 21039-2023 FSC-klagomål.docx", "A 21039-2023")</f>
        <v/>
      </c>
      <c r="AB113">
        <f>HYPERLINK("https://klasma.github.io/Logging_0781/klagomålsmail/A 21039-2023 FSC-klagomål mail.docx", "A 21039-2023")</f>
        <v/>
      </c>
      <c r="AC113">
        <f>HYPERLINK("https://klasma.github.io/Logging_0781/tillsyn/A 21039-2023 tillsynsbegäran.docx", "A 21039-2023")</f>
        <v/>
      </c>
      <c r="AD113">
        <f>HYPERLINK("https://klasma.github.io/Logging_0781/tillsynsmail/A 21039-2023 tillsynsbegäran mail.docx", "A 21039-2023")</f>
        <v/>
      </c>
    </row>
    <row r="114" ht="15" customHeight="1">
      <c r="A114" t="inlineStr">
        <is>
          <t>A 11508-2024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46312</v>
      </c>
      <c r="F114" t="inlineStr">
        <is>
          <t>KRONOBERGS LÄN</t>
        </is>
      </c>
      <c r="G114" t="inlineStr">
        <is>
          <t>LJUNGBY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HYPERLINK("https://klasma.github.io/Logging_0781/artfynd/A 11508-2024 artfynd.xlsx", "A 11508-2024")</f>
        <v/>
      </c>
      <c r="X114">
        <f>HYPERLINK("https://klasma.github.io/Logging_0781/kartor/A 11508-2024 karta.png", "A 11508-2024")</f>
        <v/>
      </c>
      <c r="Y114">
        <f>HYPERLINK("https://klasma.github.io/Logging_0781/kartor_geotiff/A 11508-2024 georefererad karta.tif", "A 11508-2024")</f>
        <v/>
      </c>
      <c r="AA114">
        <f>HYPERLINK("https://klasma.github.io/Logging_0781/klagomål/A 11508-2024 FSC-klagomål.docx", "A 11508-2024")</f>
        <v/>
      </c>
      <c r="AB114">
        <f>HYPERLINK("https://klasma.github.io/Logging_0781/klagomålsmail/A 11508-2024 FSC-klagomål mail.docx", "A 11508-2024")</f>
        <v/>
      </c>
      <c r="AC114">
        <f>HYPERLINK("https://klasma.github.io/Logging_0781/tillsyn/A 11508-2024 tillsynsbegäran.docx", "A 11508-2024")</f>
        <v/>
      </c>
      <c r="AD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46312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46312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40911-2024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46312</v>
      </c>
      <c r="F117" t="inlineStr">
        <is>
          <t>KRONOBERGS LÄN</t>
        </is>
      </c>
      <c r="G117" t="inlineStr">
        <is>
          <t>LJUNGBY</t>
        </is>
      </c>
      <c r="H117" t="inlineStr">
        <is>
          <t>Sveaskog</t>
        </is>
      </c>
      <c r="I117" t="n">
        <v>9.1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HYPERLINK("https://klasma.github.io/Logging_0781/artfynd/A 40911-2024 artfynd.xlsx", "A 40911-2024")</f>
        <v/>
      </c>
      <c r="X117">
        <f>HYPERLINK("https://klasma.github.io/Logging_0781/kartor/A 40911-2024 karta.png", "A 40911-2024")</f>
        <v/>
      </c>
      <c r="Y117">
        <f>HYPERLINK("https://klasma.github.io/Logging_0781/kartor_geotiff/A 40911-2024 georefererad karta.tif", "A 40911-2024")</f>
        <v/>
      </c>
      <c r="AA117">
        <f>HYPERLINK("https://klasma.github.io/Logging_0781/klagomål/A 40911-2024 FSC-klagomål.docx", "A 40911-2024")</f>
        <v/>
      </c>
      <c r="AB117">
        <f>HYPERLINK("https://klasma.github.io/Logging_0781/klagomålsmail/A 40911-2024 FSC-klagomål mail.docx", "A 40911-2024")</f>
        <v/>
      </c>
      <c r="AC117">
        <f>HYPERLINK("https://klasma.github.io/Logging_0781/tillsyn/A 40911-2024 tillsynsbegäran.docx", "A 40911-2024")</f>
        <v/>
      </c>
      <c r="AD117">
        <f>HYPERLINK("https://klasma.github.io/Logging_0781/tillsynsmail/A 40911-2024 tillsynsbegäran mail.docx", "A 40911-2024")</f>
        <v/>
      </c>
    </row>
    <row r="118" ht="15" customHeight="1">
      <c r="A118" t="inlineStr">
        <is>
          <t>A 37929-2026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46312</v>
      </c>
      <c r="F118" t="inlineStr">
        <is>
          <t>KRONOBERGS LÄN</t>
        </is>
      </c>
      <c r="G118" t="inlineStr">
        <is>
          <t>LJUNGBY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37929-2026 artfynd.xlsx", "A 37929-2026")</f>
        <v/>
      </c>
      <c r="X118">
        <f>HYPERLINK("https://klasma.github.io/Logging_0781/kartor/A 37929-2026 karta.png", "A 37929-2026")</f>
        <v/>
      </c>
      <c r="Y118">
        <f>HYPERLINK("https://klasma.github.io/Logging_0781/kartor_geotiff/A 37929-2026 georefererad karta.tif", "A 37929-2026")</f>
        <v/>
      </c>
      <c r="AA118">
        <f>HYPERLINK("https://klasma.github.io/Logging_0781/klagomål/A 37929-2026 FSC-klagomål.docx", "A 37929-2026")</f>
        <v/>
      </c>
      <c r="AB118">
        <f>HYPERLINK("https://klasma.github.io/Logging_0781/klagomålsmail/A 37929-2026 FSC-klagomål mail.docx", "A 37929-2026")</f>
        <v/>
      </c>
      <c r="AC118">
        <f>HYPERLINK("https://klasma.github.io/Logging_0781/tillsyn/A 37929-2026 tillsynsbegäran.docx", "A 37929-2026")</f>
        <v/>
      </c>
      <c r="AD118">
        <f>HYPERLINK("https://klasma.github.io/Logging_0781/tillsynsmail/A 37929-2026 tillsynsbegäran mail.docx", "A 37929-2026")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46312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30862-2025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46312</v>
      </c>
      <c r="F120" t="inlineStr">
        <is>
          <t>KRONOBERGS LÄN</t>
        </is>
      </c>
      <c r="G120" t="inlineStr">
        <is>
          <t>LJUNGBY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Slåttergubbe</t>
        </is>
      </c>
      <c r="W120">
        <f>HYPERLINK("https://klasma.github.io/Logging_0781/artfynd/A 30862-2025 artfynd.xlsx", "A 30862-2025")</f>
        <v/>
      </c>
      <c r="X120">
        <f>HYPERLINK("https://klasma.github.io/Logging_0781/kartor/A 30862-2025 karta.png", "A 30862-2025")</f>
        <v/>
      </c>
      <c r="Y120">
        <f>HYPERLINK("https://klasma.github.io/Logging_0781/kartor_geotiff/A 30862-2025 georefererad karta.tif", "A 30862-2025")</f>
        <v/>
      </c>
      <c r="AA120">
        <f>HYPERLINK("https://klasma.github.io/Logging_0781/klagomål/A 30862-2025 FSC-klagomål.docx", "A 30862-2025")</f>
        <v/>
      </c>
      <c r="AB120">
        <f>HYPERLINK("https://klasma.github.io/Logging_0781/klagomålsmail/A 30862-2025 FSC-klagomål mail.docx", "A 30862-2025")</f>
        <v/>
      </c>
      <c r="AC120">
        <f>HYPERLINK("https://klasma.github.io/Logging_0781/tillsyn/A 30862-2025 tillsynsbegäran.docx", "A 30862-2025")</f>
        <v/>
      </c>
      <c r="AD120">
        <f>HYPERLINK("https://klasma.github.io/Logging_0781/tillsynsmail/A 30862-2025 tillsynsbegäran mail.docx", "A 30862-2025")</f>
        <v/>
      </c>
    </row>
    <row r="121" ht="15" customHeight="1">
      <c r="A121" t="inlineStr">
        <is>
          <t>A 31604-2025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46312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Borsttåg</t>
        </is>
      </c>
      <c r="W121">
        <f>HYPERLINK("https://klasma.github.io/Logging_0781/artfynd/A 31604-2025 artfynd.xlsx", "A 31604-2025")</f>
        <v/>
      </c>
      <c r="X121">
        <f>HYPERLINK("https://klasma.github.io/Logging_0781/kartor/A 31604-2025 karta.png", "A 31604-2025")</f>
        <v/>
      </c>
      <c r="Y121">
        <f>HYPERLINK("https://klasma.github.io/Logging_0781/kartor_geotiff/A 31604-2025 georefererad karta.tif", "A 31604-2025")</f>
        <v/>
      </c>
      <c r="AA121">
        <f>HYPERLINK("https://klasma.github.io/Logging_0781/klagomål/A 31604-2025 FSC-klagomål.docx", "A 31604-2025")</f>
        <v/>
      </c>
      <c r="AB121">
        <f>HYPERLINK("https://klasma.github.io/Logging_0781/klagomålsmail/A 31604-2025 FSC-klagomål mail.docx", "A 31604-2025")</f>
        <v/>
      </c>
      <c r="AC121">
        <f>HYPERLINK("https://klasma.github.io/Logging_0781/tillsyn/A 31604-2025 tillsynsbegäran.docx", "A 31604-2025")</f>
        <v/>
      </c>
      <c r="AD121">
        <f>HYPERLINK("https://klasma.github.io/Logging_0781/tillsynsmail/A 31604-2025 tillsynsbegäran mail.docx", "A 31604-2025")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46312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56832-2022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44894</v>
      </c>
      <c r="E123" s="1" t="n">
        <v>46312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Svinrot</t>
        </is>
      </c>
      <c r="W123">
        <f>HYPERLINK("https://klasma.github.io/Logging_0781/artfynd/A 56832-2022 artfynd.xlsx", "A 56832-2022")</f>
        <v/>
      </c>
      <c r="X123">
        <f>HYPERLINK("https://klasma.github.io/Logging_0781/kartor/A 56832-2022 karta.png", "A 56832-2022")</f>
        <v/>
      </c>
      <c r="Y123">
        <f>HYPERLINK("https://klasma.github.io/Logging_0781/kartor_geotiff/A 56832-2022 georefererad karta.tif", "A 56832-2022")</f>
        <v/>
      </c>
      <c r="AA123">
        <f>HYPERLINK("https://klasma.github.io/Logging_0781/klagomål/A 56832-2022 FSC-klagomål.docx", "A 56832-2022")</f>
        <v/>
      </c>
      <c r="AB123">
        <f>HYPERLINK("https://klasma.github.io/Logging_0781/klagomålsmail/A 56832-2022 FSC-klagomål mail.docx", "A 56832-2022")</f>
        <v/>
      </c>
      <c r="AC123">
        <f>HYPERLINK("https://klasma.github.io/Logging_0781/tillsyn/A 56832-2022 tillsynsbegäran.docx", "A 56832-2022")</f>
        <v/>
      </c>
      <c r="AD123">
        <f>HYPERLINK("https://klasma.github.io/Logging_0781/tillsynsmail/A 56832-2022 tillsynsbegäran mail.docx", "A 56832-2022")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46312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37188-2025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46312</v>
      </c>
      <c r="F125" t="inlineStr">
        <is>
          <t>KRONOBERGS LÄN</t>
        </is>
      </c>
      <c r="G125" t="inlineStr">
        <is>
          <t>LJUNGBY</t>
        </is>
      </c>
      <c r="I125" t="n">
        <v>0.4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0</v>
      </c>
      <c r="V125" s="2" t="inlineStr">
        <is>
          <t>Gullpudra</t>
        </is>
      </c>
      <c r="W125">
        <f>HYPERLINK("https://klasma.github.io/Logging_0781/artfynd/A 37188-2025 artfynd.xlsx", "A 37188-2025")</f>
        <v/>
      </c>
      <c r="X125">
        <f>HYPERLINK("https://klasma.github.io/Logging_0781/kartor/A 37188-2025 karta.png", "A 37188-2025")</f>
        <v/>
      </c>
      <c r="Y125">
        <f>HYPERLINK("https://klasma.github.io/Logging_0781/kartor_geotiff/A 37188-2025 georefererad karta.tif", "A 37188-2025")</f>
        <v/>
      </c>
      <c r="AA125">
        <f>HYPERLINK("https://klasma.github.io/Logging_0781/klagomål/A 37188-2025 FSC-klagomål.docx", "A 37188-2025")</f>
        <v/>
      </c>
      <c r="AB125">
        <f>HYPERLINK("https://klasma.github.io/Logging_0781/klagomålsmail/A 37188-2025 FSC-klagomål mail.docx", "A 37188-2025")</f>
        <v/>
      </c>
      <c r="AC125">
        <f>HYPERLINK("https://klasma.github.io/Logging_0781/tillsyn/A 37188-2025 tillsynsbegäran.docx", "A 37188-2025")</f>
        <v/>
      </c>
      <c r="AD125">
        <f>HYPERLINK("https://klasma.github.io/Logging_0781/tillsynsmail/A 37188-2025 tillsynsbegäran mail.docx", "A 37188-2025")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46312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46312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46312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46312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46312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46312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46312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46312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46312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46312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46312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46312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46312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46312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46312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46312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46312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46312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46312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46312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46312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46312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46312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46312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46312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46312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46312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46312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46312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46312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46312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46312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46312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46312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46312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46312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46312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46312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46312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46312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46312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46312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46312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46312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46312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46312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46312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46312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46312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46312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46312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46312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46312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46312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46312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46312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46312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46312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46312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46312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46312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46312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46312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46312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46312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46312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46312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46312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46312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46312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46312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46312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46312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46312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46312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46312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46312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46312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46312</v>
      </c>
      <c r="F208" t="inlineStr">
        <is>
          <t>KRONOBERGS LÄN</t>
        </is>
      </c>
      <c r="G208" t="inlineStr">
        <is>
          <t>LJUNGBY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46312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46312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46312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45614</v>
      </c>
      <c r="E212" s="1" t="n">
        <v>46312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46312</v>
      </c>
      <c r="F213" t="inlineStr">
        <is>
          <t>KRONOBERGS LÄN</t>
        </is>
      </c>
      <c r="G213" t="inlineStr">
        <is>
          <t>LJUNGBY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46312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46312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46312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45068</v>
      </c>
      <c r="E217" s="1" t="n">
        <v>46312</v>
      </c>
      <c r="F217" t="inlineStr">
        <is>
          <t>KRONOBERGS LÄN</t>
        </is>
      </c>
      <c r="G217" t="inlineStr">
        <is>
          <t>LJUNGBY</t>
        </is>
      </c>
      <c r="H217" t="inlineStr">
        <is>
          <t>Kommuner</t>
        </is>
      </c>
      <c r="I217" t="n">
        <v>8.9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46312</v>
      </c>
      <c r="F218" t="inlineStr">
        <is>
          <t>KRONOBERGS LÄN</t>
        </is>
      </c>
      <c r="G218" t="inlineStr">
        <is>
          <t>LJUNGBY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46312</v>
      </c>
      <c r="F219" t="inlineStr">
        <is>
          <t>KRONOBERGS LÄN</t>
        </is>
      </c>
      <c r="G219" t="inlineStr">
        <is>
          <t>LJUNGBY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45065</v>
      </c>
      <c r="E220" s="1" t="n">
        <v>46312</v>
      </c>
      <c r="F220" t="inlineStr">
        <is>
          <t>KRONOBERGS LÄN</t>
        </is>
      </c>
      <c r="G220" t="inlineStr">
        <is>
          <t>LJUNGBY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46312</v>
      </c>
      <c r="F221" t="inlineStr">
        <is>
          <t>KRONOBERGS LÄN</t>
        </is>
      </c>
      <c r="G221" t="inlineStr">
        <is>
          <t>LJUNGBY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46312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46312</v>
      </c>
      <c r="F223" t="inlineStr">
        <is>
          <t>KRONOBERGS LÄN</t>
        </is>
      </c>
      <c r="G223" t="inlineStr">
        <is>
          <t>LJUNGBY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46312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46312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45103</v>
      </c>
      <c r="E226" s="1" t="n">
        <v>46312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46312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46312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46312</v>
      </c>
      <c r="F229" t="inlineStr">
        <is>
          <t>KRONOBERGS LÄN</t>
        </is>
      </c>
      <c r="G229" t="inlineStr">
        <is>
          <t>LJUNGBY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46312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46312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46312</v>
      </c>
      <c r="F232" t="inlineStr">
        <is>
          <t>KRONOBERGS LÄN</t>
        </is>
      </c>
      <c r="G232" t="inlineStr">
        <is>
          <t>LJUNGBY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46312</v>
      </c>
      <c r="F233" t="inlineStr">
        <is>
          <t>KRONOBERGS LÄN</t>
        </is>
      </c>
      <c r="G233" t="inlineStr">
        <is>
          <t>LJUNGBY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45345</v>
      </c>
      <c r="E234" s="1" t="n">
        <v>46312</v>
      </c>
      <c r="F234" t="inlineStr">
        <is>
          <t>KRONOBERGS LÄN</t>
        </is>
      </c>
      <c r="G234" t="inlineStr">
        <is>
          <t>LJUNGBY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46312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46312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46312</v>
      </c>
      <c r="F237" t="inlineStr">
        <is>
          <t>KRONOBERGS LÄN</t>
        </is>
      </c>
      <c r="G237" t="inlineStr">
        <is>
          <t>LJUNGBY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46312</v>
      </c>
      <c r="F238" t="inlineStr">
        <is>
          <t>KRONOBERGS LÄN</t>
        </is>
      </c>
      <c r="G238" t="inlineStr">
        <is>
          <t>LJUNGBY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46312</v>
      </c>
      <c r="F239" t="inlineStr">
        <is>
          <t>KRONOBERGS LÄN</t>
        </is>
      </c>
      <c r="G239" t="inlineStr">
        <is>
          <t>LJUNGBY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40511-2022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46312</v>
      </c>
      <c r="F240" t="inlineStr">
        <is>
          <t>KRONOBERGS LÄN</t>
        </is>
      </c>
      <c r="G240" t="inlineStr">
        <is>
          <t>LJUNGBY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44959</v>
      </c>
      <c r="E241" s="1" t="n">
        <v>46312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44634</v>
      </c>
      <c r="E242" s="1" t="n">
        <v>46312</v>
      </c>
      <c r="F242" t="inlineStr">
        <is>
          <t>KRONOBERGS LÄN</t>
        </is>
      </c>
      <c r="G242" t="inlineStr">
        <is>
          <t>LJUNGBY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46312</v>
      </c>
      <c r="F243" t="inlineStr">
        <is>
          <t>KRONOBERGS LÄN</t>
        </is>
      </c>
      <c r="G243" t="inlineStr">
        <is>
          <t>LJUNGBY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46312</v>
      </c>
      <c r="F244" t="inlineStr">
        <is>
          <t>KRONOBERGS LÄN</t>
        </is>
      </c>
      <c r="G244" t="inlineStr">
        <is>
          <t>LJUNGBY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46312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46312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46312</v>
      </c>
      <c r="F247" t="inlineStr">
        <is>
          <t>KRONOBERGS LÄN</t>
        </is>
      </c>
      <c r="G247" t="inlineStr">
        <is>
          <t>LJUNGBY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46312</v>
      </c>
      <c r="F248" t="inlineStr">
        <is>
          <t>KRONOBERGS LÄN</t>
        </is>
      </c>
      <c r="G248" t="inlineStr">
        <is>
          <t>LJUNGBY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46312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46312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46312</v>
      </c>
      <c r="F251" t="inlineStr">
        <is>
          <t>KRONOBERGS LÄN</t>
        </is>
      </c>
      <c r="G251" t="inlineStr">
        <is>
          <t>LJUNGBY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46312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44923</v>
      </c>
      <c r="E253" s="1" t="n">
        <v>46312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46312</v>
      </c>
      <c r="F254" t="inlineStr">
        <is>
          <t>KRONOBERGS LÄN</t>
        </is>
      </c>
      <c r="G254" t="inlineStr">
        <is>
          <t>LJUNGBY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46312</v>
      </c>
      <c r="F255" t="inlineStr">
        <is>
          <t>KRONOBERGS LÄN</t>
        </is>
      </c>
      <c r="G255" t="inlineStr">
        <is>
          <t>LJUNGBY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44882</v>
      </c>
      <c r="E256" s="1" t="n">
        <v>46312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46312</v>
      </c>
      <c r="F257" t="inlineStr">
        <is>
          <t>KRONOBERGS LÄN</t>
        </is>
      </c>
      <c r="G257" t="inlineStr">
        <is>
          <t>LJUNGBY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46312</v>
      </c>
      <c r="F258" t="inlineStr">
        <is>
          <t>KRONOBERGS LÄN</t>
        </is>
      </c>
      <c r="G258" t="inlineStr">
        <is>
          <t>LJUNGBY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46312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44706</v>
      </c>
      <c r="E260" s="1" t="n">
        <v>46312</v>
      </c>
      <c r="F260" t="inlineStr">
        <is>
          <t>KRONOBERGS LÄN</t>
        </is>
      </c>
      <c r="G260" t="inlineStr">
        <is>
          <t>LJUNGBY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46312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46312</v>
      </c>
      <c r="F262" t="inlineStr">
        <is>
          <t>KRONOBERGS LÄN</t>
        </is>
      </c>
      <c r="G262" t="inlineStr">
        <is>
          <t>LJUNGBY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46312</v>
      </c>
      <c r="F263" t="inlineStr">
        <is>
          <t>KRONOBERGS LÄN</t>
        </is>
      </c>
      <c r="G263" t="inlineStr">
        <is>
          <t>LJUNGBY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46312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46312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46312</v>
      </c>
      <c r="F266" t="inlineStr">
        <is>
          <t>KRONOBERGS LÄN</t>
        </is>
      </c>
      <c r="G266" t="inlineStr">
        <is>
          <t>LJUNGBY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46312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46312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45446</v>
      </c>
      <c r="E269" s="1" t="n">
        <v>46312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57737-2023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45246</v>
      </c>
      <c r="E270" s="1" t="n">
        <v>46312</v>
      </c>
      <c r="F270" t="inlineStr">
        <is>
          <t>KRONOBERGS LÄN</t>
        </is>
      </c>
      <c r="G270" t="inlineStr">
        <is>
          <t>LJUNGBY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46312</v>
      </c>
      <c r="F271" t="inlineStr">
        <is>
          <t>KRONOBERGS LÄN</t>
        </is>
      </c>
      <c r="G271" t="inlineStr">
        <is>
          <t>LJUNGBY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46312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46312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64691-2023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46312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46312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46312</v>
      </c>
      <c r="F276" t="inlineStr">
        <is>
          <t>KRONOBERGS LÄN</t>
        </is>
      </c>
      <c r="G276" t="inlineStr">
        <is>
          <t>LJUNGBY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44582</v>
      </c>
      <c r="E277" s="1" t="n">
        <v>46312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46312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44928</v>
      </c>
      <c r="E279" s="1" t="n">
        <v>46312</v>
      </c>
      <c r="F279" t="inlineStr">
        <is>
          <t>KRONOBERGS LÄN</t>
        </is>
      </c>
      <c r="G279" t="inlineStr">
        <is>
          <t>LJUNGBY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45305</v>
      </c>
      <c r="E280" s="1" t="n">
        <v>46312</v>
      </c>
      <c r="F280" t="inlineStr">
        <is>
          <t>KRONOBERGS LÄN</t>
        </is>
      </c>
      <c r="G280" t="inlineStr">
        <is>
          <t>LJUNGBY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46312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46312</v>
      </c>
      <c r="F282" t="inlineStr">
        <is>
          <t>KRONOBERGS LÄN</t>
        </is>
      </c>
      <c r="G282" t="inlineStr">
        <is>
          <t>LJUNGBY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46312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17037-2024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45412</v>
      </c>
      <c r="E284" s="1" t="n">
        <v>46312</v>
      </c>
      <c r="F284" t="inlineStr">
        <is>
          <t>KRONOBERGS LÄN</t>
        </is>
      </c>
      <c r="G284" t="inlineStr">
        <is>
          <t>LJUNGBY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46312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46312</v>
      </c>
      <c r="F286" t="inlineStr">
        <is>
          <t>KRONOBERGS LÄN</t>
        </is>
      </c>
      <c r="G286" t="inlineStr">
        <is>
          <t>LJUNGBY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46312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46312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37335-2022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44809</v>
      </c>
      <c r="E289" s="1" t="n">
        <v>46312</v>
      </c>
      <c r="F289" t="inlineStr">
        <is>
          <t>KRONOBERGS LÄN</t>
        </is>
      </c>
      <c r="G289" t="inlineStr">
        <is>
          <t>LJUNGBY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46312</v>
      </c>
      <c r="F290" t="inlineStr">
        <is>
          <t>KRONOBERGS LÄN</t>
        </is>
      </c>
      <c r="G290" t="inlineStr">
        <is>
          <t>LJUNGBY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45757</v>
      </c>
      <c r="E291" s="1" t="n">
        <v>46312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46312</v>
      </c>
      <c r="F292" t="inlineStr">
        <is>
          <t>KRONOBERGS LÄN</t>
        </is>
      </c>
      <c r="G292" t="inlineStr">
        <is>
          <t>LJUNGBY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44603</v>
      </c>
      <c r="E293" s="1" t="n">
        <v>46312</v>
      </c>
      <c r="F293" t="inlineStr">
        <is>
          <t>KRONOBERGS LÄN</t>
        </is>
      </c>
      <c r="G293" t="inlineStr">
        <is>
          <t>LJUNGBY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46312</v>
      </c>
      <c r="F294" t="inlineStr">
        <is>
          <t>KRONOBERGS LÄN</t>
        </is>
      </c>
      <c r="G294" t="inlineStr">
        <is>
          <t>LJUNGBY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44945</v>
      </c>
      <c r="E295" s="1" t="n">
        <v>46312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46312</v>
      </c>
      <c r="F296" t="inlineStr">
        <is>
          <t>KRONOBERGS LÄN</t>
        </is>
      </c>
      <c r="G296" t="inlineStr">
        <is>
          <t>LJUNGBY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46312</v>
      </c>
      <c r="F297" t="inlineStr">
        <is>
          <t>KRONOBERGS LÄN</t>
        </is>
      </c>
      <c r="G297" t="inlineStr">
        <is>
          <t>LJUNGBY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46312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46312</v>
      </c>
      <c r="F299" t="inlineStr">
        <is>
          <t>KRONOBERGS LÄN</t>
        </is>
      </c>
      <c r="G299" t="inlineStr">
        <is>
          <t>LJUNGBY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46312</v>
      </c>
      <c r="F300" t="inlineStr">
        <is>
          <t>KRONOBERGS LÄN</t>
        </is>
      </c>
      <c r="G300" t="inlineStr">
        <is>
          <t>LJUNGBY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46312</v>
      </c>
      <c r="F301" t="inlineStr">
        <is>
          <t>KRONOBERGS LÄN</t>
        </is>
      </c>
      <c r="G301" t="inlineStr">
        <is>
          <t>LJUNGBY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32046-2024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45510</v>
      </c>
      <c r="E302" s="1" t="n">
        <v>46312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46312</v>
      </c>
      <c r="F303" t="inlineStr">
        <is>
          <t>KRONOBERGS LÄN</t>
        </is>
      </c>
      <c r="G303" t="inlineStr">
        <is>
          <t>LJUNGBY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46312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46312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49744-2023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45212</v>
      </c>
      <c r="E306" s="1" t="n">
        <v>46312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45301</v>
      </c>
      <c r="E307" s="1" t="n">
        <v>46312</v>
      </c>
      <c r="F307" t="inlineStr">
        <is>
          <t>KRONOBERGS LÄN</t>
        </is>
      </c>
      <c r="G307" t="inlineStr">
        <is>
          <t>LJUNGBY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46312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46312</v>
      </c>
      <c r="F309" t="inlineStr">
        <is>
          <t>KRONOBERGS LÄN</t>
        </is>
      </c>
      <c r="G309" t="inlineStr">
        <is>
          <t>LJUNGBY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46312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46312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46312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64354-2023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46312</v>
      </c>
      <c r="F313" t="inlineStr">
        <is>
          <t>KRONOBERGS LÄN</t>
        </is>
      </c>
      <c r="G313" t="inlineStr">
        <is>
          <t>LJUNGBY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46312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46312</v>
      </c>
      <c r="F315" t="inlineStr">
        <is>
          <t>KRONOBERGS LÄN</t>
        </is>
      </c>
      <c r="G315" t="inlineStr">
        <is>
          <t>LJUNGBY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46312</v>
      </c>
      <c r="F316" t="inlineStr">
        <is>
          <t>KRONOBERGS LÄN</t>
        </is>
      </c>
      <c r="G316" t="inlineStr">
        <is>
          <t>LJUNGBY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46312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46312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46312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46312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46312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46312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46312</v>
      </c>
      <c r="F323" t="inlineStr">
        <is>
          <t>KRONOBERGS LÄN</t>
        </is>
      </c>
      <c r="G323" t="inlineStr">
        <is>
          <t>LJUNGBY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45679</v>
      </c>
      <c r="E324" s="1" t="n">
        <v>46312</v>
      </c>
      <c r="F324" t="inlineStr">
        <is>
          <t>KRONOBERGS LÄN</t>
        </is>
      </c>
      <c r="G324" t="inlineStr">
        <is>
          <t>LJUNGBY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46312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46312</v>
      </c>
      <c r="F326" t="inlineStr">
        <is>
          <t>KRONOBERGS LÄN</t>
        </is>
      </c>
      <c r="G326" t="inlineStr">
        <is>
          <t>LJUNGBY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45475</v>
      </c>
      <c r="E327" s="1" t="n">
        <v>46312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45845</v>
      </c>
      <c r="E328" s="1" t="n">
        <v>46312</v>
      </c>
      <c r="F328" t="inlineStr">
        <is>
          <t>KRONOBERGS LÄN</t>
        </is>
      </c>
      <c r="G328" t="inlineStr">
        <is>
          <t>LJUNGBY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45679</v>
      </c>
      <c r="E329" s="1" t="n">
        <v>46312</v>
      </c>
      <c r="F329" t="inlineStr">
        <is>
          <t>KRONOBERGS LÄN</t>
        </is>
      </c>
      <c r="G329" t="inlineStr">
        <is>
          <t>LJUNGBY</t>
        </is>
      </c>
      <c r="I329" t="n">
        <v>20.8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45260</v>
      </c>
      <c r="E330" s="1" t="n">
        <v>46312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46312</v>
      </c>
      <c r="F331" t="inlineStr">
        <is>
          <t>KRONOBERGS LÄN</t>
        </is>
      </c>
      <c r="G331" t="inlineStr">
        <is>
          <t>LJUNGBY</t>
        </is>
      </c>
      <c r="H331" t="inlineStr">
        <is>
          <t>Kyrkan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46312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45328</v>
      </c>
      <c r="E333" s="1" t="n">
        <v>46312</v>
      </c>
      <c r="F333" t="inlineStr">
        <is>
          <t>KRONOBERGS LÄN</t>
        </is>
      </c>
      <c r="G333" t="inlineStr">
        <is>
          <t>LJUNGBY</t>
        </is>
      </c>
      <c r="I333" t="n">
        <v>51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46312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46312</v>
      </c>
      <c r="F335" t="inlineStr">
        <is>
          <t>KRONOBERGS LÄN</t>
        </is>
      </c>
      <c r="G335" t="inlineStr">
        <is>
          <t>LJUNGBY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46312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46312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46312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46312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46312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46312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46312</v>
      </c>
      <c r="F342" t="inlineStr">
        <is>
          <t>KRONOBERGS LÄN</t>
        </is>
      </c>
      <c r="G342" t="inlineStr">
        <is>
          <t>LJUNGBY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44487</v>
      </c>
      <c r="E343" s="1" t="n">
        <v>46312</v>
      </c>
      <c r="F343" t="inlineStr">
        <is>
          <t>KRONOBERGS LÄN</t>
        </is>
      </c>
      <c r="G343" t="inlineStr">
        <is>
          <t>LJUNGBY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46312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46312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46312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46312</v>
      </c>
      <c r="F347" t="inlineStr">
        <is>
          <t>KRONOBERGS LÄN</t>
        </is>
      </c>
      <c r="G347" t="inlineStr">
        <is>
          <t>LJUNGBY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44903</v>
      </c>
      <c r="E348" s="1" t="n">
        <v>46312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46312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46312</v>
      </c>
      <c r="F350" t="inlineStr">
        <is>
          <t>KRONOBERGS LÄN</t>
        </is>
      </c>
      <c r="G350" t="inlineStr">
        <is>
          <t>LJUNGBY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46312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46312</v>
      </c>
      <c r="F352" t="inlineStr">
        <is>
          <t>KRONOBERGS LÄN</t>
        </is>
      </c>
      <c r="G352" t="inlineStr">
        <is>
          <t>LJUNGBY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46312</v>
      </c>
      <c r="F353" t="inlineStr">
        <is>
          <t>KRONOBERGS LÄN</t>
        </is>
      </c>
      <c r="G353" t="inlineStr">
        <is>
          <t>LJUNGBY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46312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56387-2023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45243</v>
      </c>
      <c r="E355" s="1" t="n">
        <v>46312</v>
      </c>
      <c r="F355" t="inlineStr">
        <is>
          <t>KRONOBERGS LÄN</t>
        </is>
      </c>
      <c r="G355" t="inlineStr">
        <is>
          <t>LJUNGBY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46312</v>
      </c>
      <c r="F356" t="inlineStr">
        <is>
          <t>KRONOBERGS LÄN</t>
        </is>
      </c>
      <c r="G356" t="inlineStr">
        <is>
          <t>LJUNGBY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46312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45837</v>
      </c>
      <c r="E358" s="1" t="n">
        <v>46312</v>
      </c>
      <c r="F358" t="inlineStr">
        <is>
          <t>KRONOBERGS LÄN</t>
        </is>
      </c>
      <c r="G358" t="inlineStr">
        <is>
          <t>LJUNGBY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46312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46312</v>
      </c>
      <c r="F360" t="inlineStr">
        <is>
          <t>KRONOBERGS LÄN</t>
        </is>
      </c>
      <c r="G360" t="inlineStr">
        <is>
          <t>LJUNGBY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45137</v>
      </c>
      <c r="E361" s="1" t="n">
        <v>46312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46312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46312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46312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46312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46312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46312</v>
      </c>
      <c r="F367" t="inlineStr">
        <is>
          <t>KRONOBERGS LÄN</t>
        </is>
      </c>
      <c r="G367" t="inlineStr">
        <is>
          <t>LJUNGBY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46312</v>
      </c>
      <c r="F368" t="inlineStr">
        <is>
          <t>KRONOBERGS LÄN</t>
        </is>
      </c>
      <c r="G368" t="inlineStr">
        <is>
          <t>LJUNGBY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46312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45826</v>
      </c>
      <c r="E370" s="1" t="n">
        <v>46312</v>
      </c>
      <c r="F370" t="inlineStr">
        <is>
          <t>KRONOBERGS LÄN</t>
        </is>
      </c>
      <c r="G370" t="inlineStr">
        <is>
          <t>LJUNGBY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46312</v>
      </c>
      <c r="F371" t="inlineStr">
        <is>
          <t>KRONOBERGS LÄN</t>
        </is>
      </c>
      <c r="G371" t="inlineStr">
        <is>
          <t>LJUNGBY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46312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46312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45272</v>
      </c>
      <c r="E374" s="1" t="n">
        <v>46312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45440</v>
      </c>
      <c r="E375" s="1" t="n">
        <v>46312</v>
      </c>
      <c r="F375" t="inlineStr">
        <is>
          <t>KRONOBERGS LÄN</t>
        </is>
      </c>
      <c r="G375" t="inlineStr">
        <is>
          <t>LJUNGBY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46312</v>
      </c>
      <c r="F376" t="inlineStr">
        <is>
          <t>KRONOBERGS LÄN</t>
        </is>
      </c>
      <c r="G376" t="inlineStr">
        <is>
          <t>LJUNGBY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45476</v>
      </c>
      <c r="E377" s="1" t="n">
        <v>46312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46312</v>
      </c>
      <c r="F378" t="inlineStr">
        <is>
          <t>KRONOBERGS LÄN</t>
        </is>
      </c>
      <c r="G378" t="inlineStr">
        <is>
          <t>LJUNGBY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46312</v>
      </c>
      <c r="F379" t="inlineStr">
        <is>
          <t>KRONOBERGS LÄN</t>
        </is>
      </c>
      <c r="G379" t="inlineStr">
        <is>
          <t>LJUNGBY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46312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46312</v>
      </c>
      <c r="F381" t="inlineStr">
        <is>
          <t>KRONOBERGS LÄN</t>
        </is>
      </c>
      <c r="G381" t="inlineStr">
        <is>
          <t>LJUNGBY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46312</v>
      </c>
      <c r="F382" t="inlineStr">
        <is>
          <t>KRONOBERGS LÄN</t>
        </is>
      </c>
      <c r="G382" t="inlineStr">
        <is>
          <t>LJUNGBY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23600-2023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45077</v>
      </c>
      <c r="E383" s="1" t="n">
        <v>46312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46140</v>
      </c>
      <c r="E384" s="1" t="n">
        <v>46312</v>
      </c>
      <c r="F384" t="inlineStr">
        <is>
          <t>KRONOBERGS LÄN</t>
        </is>
      </c>
      <c r="G384" t="inlineStr">
        <is>
          <t>LJUNGBY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46312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45069</v>
      </c>
      <c r="E386" s="1" t="n">
        <v>46312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46312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46312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14844-2022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44656</v>
      </c>
      <c r="E389" s="1" t="n">
        <v>46312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46312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45355</v>
      </c>
      <c r="E391" s="1" t="n">
        <v>46312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46312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46312</v>
      </c>
      <c r="F393" t="inlineStr">
        <is>
          <t>KRONOBERGS LÄN</t>
        </is>
      </c>
      <c r="G393" t="inlineStr">
        <is>
          <t>LJUNGBY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46312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46312</v>
      </c>
      <c r="F395" t="inlineStr">
        <is>
          <t>KRONOBERGS LÄN</t>
        </is>
      </c>
      <c r="G395" t="inlineStr">
        <is>
          <t>LJUNGBY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46312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46312</v>
      </c>
      <c r="F397" t="inlineStr">
        <is>
          <t>KRONOBERGS LÄN</t>
        </is>
      </c>
      <c r="G397" t="inlineStr">
        <is>
          <t>LJUNGBY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42679-2025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46312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46312</v>
      </c>
      <c r="F399" t="inlineStr">
        <is>
          <t>KRONOBERGS LÄN</t>
        </is>
      </c>
      <c r="G399" t="inlineStr">
        <is>
          <t>LJUNGBY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46312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46312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46312</v>
      </c>
      <c r="F402" t="inlineStr">
        <is>
          <t>KRONOBERGS LÄN</t>
        </is>
      </c>
      <c r="G402" t="inlineStr">
        <is>
          <t>LJUNGBY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44896</v>
      </c>
      <c r="E403" s="1" t="n">
        <v>46312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45876</v>
      </c>
      <c r="E404" s="1" t="n">
        <v>46312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45370</v>
      </c>
      <c r="E405" s="1" t="n">
        <v>46312</v>
      </c>
      <c r="F405" t="inlineStr">
        <is>
          <t>KRONOBERGS LÄN</t>
        </is>
      </c>
      <c r="G405" t="inlineStr">
        <is>
          <t>LJUNGBY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50030-2023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46312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46312</v>
      </c>
      <c r="F407" t="inlineStr">
        <is>
          <t>KRONOBERGS LÄN</t>
        </is>
      </c>
      <c r="G407" t="inlineStr">
        <is>
          <t>LJUNGBY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46312</v>
      </c>
      <c r="F408" t="inlineStr">
        <is>
          <t>KRONOBERGS LÄN</t>
        </is>
      </c>
      <c r="G408" t="inlineStr">
        <is>
          <t>LJUNGBY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46312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46312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46312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46312</v>
      </c>
      <c r="F412" t="inlineStr">
        <is>
          <t>KRONOBERGS LÄN</t>
        </is>
      </c>
      <c r="G412" t="inlineStr">
        <is>
          <t>LJUNGBY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46312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46312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46312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46312</v>
      </c>
      <c r="F416" t="inlineStr">
        <is>
          <t>KRONOBERGS LÄN</t>
        </is>
      </c>
      <c r="G416" t="inlineStr">
        <is>
          <t>LJUNGBY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46312</v>
      </c>
      <c r="F417" t="inlineStr">
        <is>
          <t>KRONOBERGS LÄN</t>
        </is>
      </c>
      <c r="G417" t="inlineStr">
        <is>
          <t>LJUNGBY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46312</v>
      </c>
      <c r="F418" t="inlineStr">
        <is>
          <t>KRONOBERGS LÄN</t>
        </is>
      </c>
      <c r="G418" t="inlineStr">
        <is>
          <t>LJUNGBY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44585</v>
      </c>
      <c r="E419" s="1" t="n">
        <v>46312</v>
      </c>
      <c r="F419" t="inlineStr">
        <is>
          <t>KRONOBERGS LÄN</t>
        </is>
      </c>
      <c r="G419" t="inlineStr">
        <is>
          <t>LJUNGBY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44999</v>
      </c>
      <c r="E420" s="1" t="n">
        <v>46312</v>
      </c>
      <c r="F420" t="inlineStr">
        <is>
          <t>KRONOBERGS LÄN</t>
        </is>
      </c>
      <c r="G420" t="inlineStr">
        <is>
          <t>LJUNGBY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46312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46312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46312</v>
      </c>
      <c r="F423" t="inlineStr">
        <is>
          <t>KRONOBERGS LÄN</t>
        </is>
      </c>
      <c r="G423" t="inlineStr">
        <is>
          <t>LJUNGBY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46312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46312</v>
      </c>
      <c r="F425" t="inlineStr">
        <is>
          <t>KRONOBERGS LÄN</t>
        </is>
      </c>
      <c r="G425" t="inlineStr">
        <is>
          <t>LJUNGBY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46312</v>
      </c>
      <c r="F426" t="inlineStr">
        <is>
          <t>KRONOBERGS LÄN</t>
        </is>
      </c>
      <c r="G426" t="inlineStr">
        <is>
          <t>LJUNGBY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46312</v>
      </c>
      <c r="F427" t="inlineStr">
        <is>
          <t>KRONOBERGS LÄN</t>
        </is>
      </c>
      <c r="G427" t="inlineStr">
        <is>
          <t>LJUNGBY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46312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46312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45748</v>
      </c>
      <c r="E430" s="1" t="n">
        <v>46312</v>
      </c>
      <c r="F430" t="inlineStr">
        <is>
          <t>KRONOBERGS LÄN</t>
        </is>
      </c>
      <c r="G430" t="inlineStr">
        <is>
          <t>LJUNGBY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46312</v>
      </c>
      <c r="F431" t="inlineStr">
        <is>
          <t>KRONOBERGS LÄN</t>
        </is>
      </c>
      <c r="G431" t="inlineStr">
        <is>
          <t>LJUNGBY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46312</v>
      </c>
      <c r="F432" t="inlineStr">
        <is>
          <t>KRONOBERGS LÄN</t>
        </is>
      </c>
      <c r="G432" t="inlineStr">
        <is>
          <t>LJUNGBY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46312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46312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46312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45925</v>
      </c>
      <c r="E436" s="1" t="n">
        <v>46312</v>
      </c>
      <c r="F436" t="inlineStr">
        <is>
          <t>KRONOBERGS LÄN</t>
        </is>
      </c>
      <c r="G436" t="inlineStr">
        <is>
          <t>LJUNGBY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46312</v>
      </c>
      <c r="F437" t="inlineStr">
        <is>
          <t>KRONOBERGS LÄN</t>
        </is>
      </c>
      <c r="G437" t="inlineStr">
        <is>
          <t>LJUNGBY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46312</v>
      </c>
      <c r="F438" t="inlineStr">
        <is>
          <t>KRONOBERGS LÄN</t>
        </is>
      </c>
      <c r="G438" t="inlineStr">
        <is>
          <t>LJUNGBY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46312</v>
      </c>
      <c r="F439" t="inlineStr">
        <is>
          <t>KRONOBERGS LÄN</t>
        </is>
      </c>
      <c r="G439" t="inlineStr">
        <is>
          <t>LJUNGBY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46312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46312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44959</v>
      </c>
      <c r="E442" s="1" t="n">
        <v>46312</v>
      </c>
      <c r="F442" t="inlineStr">
        <is>
          <t>KRONOBERGS LÄN</t>
        </is>
      </c>
      <c r="G442" t="inlineStr">
        <is>
          <t>LJUNGBY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44959</v>
      </c>
      <c r="E443" s="1" t="n">
        <v>46312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43844-2023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46312</v>
      </c>
      <c r="F444" t="inlineStr">
        <is>
          <t>KRONOBERGS LÄN</t>
        </is>
      </c>
      <c r="G444" t="inlineStr">
        <is>
          <t>LJUNGBY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45176</v>
      </c>
      <c r="E445" s="1" t="n">
        <v>46312</v>
      </c>
      <c r="F445" t="inlineStr">
        <is>
          <t>KRONOBERGS LÄN</t>
        </is>
      </c>
      <c r="G445" t="inlineStr">
        <is>
          <t>LJUNGBY</t>
        </is>
      </c>
      <c r="H445" t="inlineStr">
        <is>
          <t>Kyrkan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46312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46312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67204-2021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46312</v>
      </c>
      <c r="F448" t="inlineStr">
        <is>
          <t>KRONOBERGS LÄN</t>
        </is>
      </c>
      <c r="G448" t="inlineStr">
        <is>
          <t>LJUNGBY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46312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45224</v>
      </c>
      <c r="E450" s="1" t="n">
        <v>46312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46312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46312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44573</v>
      </c>
      <c r="E453" s="1" t="n">
        <v>46312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46312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46312</v>
      </c>
      <c r="F455" t="inlineStr">
        <is>
          <t>KRONOBERGS LÄN</t>
        </is>
      </c>
      <c r="G455" t="inlineStr">
        <is>
          <t>LJUNGBY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46312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40092-2022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44820</v>
      </c>
      <c r="E457" s="1" t="n">
        <v>46312</v>
      </c>
      <c r="F457" t="inlineStr">
        <is>
          <t>KRONOBERGS LÄN</t>
        </is>
      </c>
      <c r="G457" t="inlineStr">
        <is>
          <t>LJUNGBY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45945</v>
      </c>
      <c r="E458" s="1" t="n">
        <v>46312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46312</v>
      </c>
      <c r="F459" t="inlineStr">
        <is>
          <t>KRONOBERGS LÄN</t>
        </is>
      </c>
      <c r="G459" t="inlineStr">
        <is>
          <t>LJUNGBY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46312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46312</v>
      </c>
      <c r="F461" t="inlineStr">
        <is>
          <t>KRONOBERGS LÄN</t>
        </is>
      </c>
      <c r="G461" t="inlineStr">
        <is>
          <t>LJUNGBY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45476</v>
      </c>
      <c r="E462" s="1" t="n">
        <v>46312</v>
      </c>
      <c r="F462" t="inlineStr">
        <is>
          <t>KRONOBERGS LÄN</t>
        </is>
      </c>
      <c r="G462" t="inlineStr">
        <is>
          <t>LJUNGBY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45111</v>
      </c>
      <c r="E463" s="1" t="n">
        <v>46312</v>
      </c>
      <c r="F463" t="inlineStr">
        <is>
          <t>KRONOBERGS LÄN</t>
        </is>
      </c>
      <c r="G463" t="inlineStr">
        <is>
          <t>LJUNGBY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46312</v>
      </c>
      <c r="F464" t="inlineStr">
        <is>
          <t>KRONOBERGS LÄN</t>
        </is>
      </c>
      <c r="G464" t="inlineStr">
        <is>
          <t>LJUNGBY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50862-2025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46312</v>
      </c>
      <c r="F465" t="inlineStr">
        <is>
          <t>KRONOBERGS LÄN</t>
        </is>
      </c>
      <c r="G465" t="inlineStr">
        <is>
          <t>LJUNGBY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46312</v>
      </c>
      <c r="F466" t="inlineStr">
        <is>
          <t>KRONOBERGS LÄN</t>
        </is>
      </c>
      <c r="G466" t="inlineStr">
        <is>
          <t>LJUNGBY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46312</v>
      </c>
      <c r="F467" t="inlineStr">
        <is>
          <t>KRONOBERGS LÄN</t>
        </is>
      </c>
      <c r="G467" t="inlineStr">
        <is>
          <t>LJUNGBY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46312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46312</v>
      </c>
      <c r="F469" t="inlineStr">
        <is>
          <t>KRONOBERGS LÄN</t>
        </is>
      </c>
      <c r="G469" t="inlineStr">
        <is>
          <t>LJUNGBY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45089</v>
      </c>
      <c r="E470" s="1" t="n">
        <v>46312</v>
      </c>
      <c r="F470" t="inlineStr">
        <is>
          <t>KRONOBERGS LÄN</t>
        </is>
      </c>
      <c r="G470" t="inlineStr">
        <is>
          <t>LJUNGBY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44565</v>
      </c>
      <c r="E471" s="1" t="n">
        <v>46312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44565</v>
      </c>
      <c r="E472" s="1" t="n">
        <v>46312</v>
      </c>
      <c r="F472" t="inlineStr">
        <is>
          <t>KRONOBERGS LÄN</t>
        </is>
      </c>
      <c r="G472" t="inlineStr">
        <is>
          <t>LJUNGBY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46312</v>
      </c>
      <c r="F473" t="inlineStr">
        <is>
          <t>KRONOBERGS LÄN</t>
        </is>
      </c>
      <c r="G473" t="inlineStr">
        <is>
          <t>LJUNGBY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46312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46312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46312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46312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46312</v>
      </c>
      <c r="F478" t="inlineStr">
        <is>
          <t>KRONOBERGS LÄN</t>
        </is>
      </c>
      <c r="G478" t="inlineStr">
        <is>
          <t>LJUNGBY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46312</v>
      </c>
      <c r="F479" t="inlineStr">
        <is>
          <t>KRONOBERGS LÄN</t>
        </is>
      </c>
      <c r="G479" t="inlineStr">
        <is>
          <t>LJUNGBY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46312</v>
      </c>
      <c r="F480" t="inlineStr">
        <is>
          <t>KRONOBERGS LÄN</t>
        </is>
      </c>
      <c r="G480" t="inlineStr">
        <is>
          <t>LJUNGBY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45874</v>
      </c>
      <c r="E481" s="1" t="n">
        <v>46312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46312</v>
      </c>
      <c r="F482" t="inlineStr">
        <is>
          <t>KRONOBERGS LÄN</t>
        </is>
      </c>
      <c r="G482" t="inlineStr">
        <is>
          <t>LJUNGBY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46312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46312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46312</v>
      </c>
      <c r="F485" t="inlineStr">
        <is>
          <t>KRONOBERGS LÄN</t>
        </is>
      </c>
      <c r="G485" t="inlineStr">
        <is>
          <t>LJUNGBY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46312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46312</v>
      </c>
      <c r="F487" t="inlineStr">
        <is>
          <t>KRONOBERGS LÄN</t>
        </is>
      </c>
      <c r="G487" t="inlineStr">
        <is>
          <t>LJUNGBY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46312</v>
      </c>
      <c r="F488" t="inlineStr">
        <is>
          <t>KRONOBERGS LÄN</t>
        </is>
      </c>
      <c r="G488" t="inlineStr">
        <is>
          <t>LJUNGBY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45672</v>
      </c>
      <c r="E489" s="1" t="n">
        <v>46312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46312</v>
      </c>
      <c r="F490" t="inlineStr">
        <is>
          <t>KRONOBERGS LÄN</t>
        </is>
      </c>
      <c r="G490" t="inlineStr">
        <is>
          <t>LJUNGBY</t>
        </is>
      </c>
      <c r="H490" t="inlineStr">
        <is>
          <t>Kyrkan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46312</v>
      </c>
      <c r="F491" t="inlineStr">
        <is>
          <t>KRONOBERGS LÄN</t>
        </is>
      </c>
      <c r="G491" t="inlineStr">
        <is>
          <t>LJUNGBY</t>
        </is>
      </c>
      <c r="H491" t="inlineStr">
        <is>
          <t>Övriga Aktiebolag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46312</v>
      </c>
      <c r="F492" t="inlineStr">
        <is>
          <t>KRONOBERGS LÄN</t>
        </is>
      </c>
      <c r="G492" t="inlineStr">
        <is>
          <t>LJUNGBY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26882-2024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45470</v>
      </c>
      <c r="E493" s="1" t="n">
        <v>46312</v>
      </c>
      <c r="F493" t="inlineStr">
        <is>
          <t>KRONOBERGS LÄN</t>
        </is>
      </c>
      <c r="G493" t="inlineStr">
        <is>
          <t>LJUNGBY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45961</v>
      </c>
      <c r="E494" s="1" t="n">
        <v>46312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46312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45339</v>
      </c>
      <c r="E496" s="1" t="n">
        <v>46312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46312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45961</v>
      </c>
      <c r="E498" s="1" t="n">
        <v>46312</v>
      </c>
      <c r="F498" t="inlineStr">
        <is>
          <t>KRONOBERGS LÄN</t>
        </is>
      </c>
      <c r="G498" t="inlineStr">
        <is>
          <t>LJUNGBY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54259-2025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45964</v>
      </c>
      <c r="E499" s="1" t="n">
        <v>46312</v>
      </c>
      <c r="F499" t="inlineStr">
        <is>
          <t>KRONOBERGS LÄN</t>
        </is>
      </c>
      <c r="G499" t="inlineStr">
        <is>
          <t>LJUNGBY</t>
        </is>
      </c>
      <c r="H499" t="inlineStr">
        <is>
          <t>Kommuner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45964</v>
      </c>
      <c r="E500" s="1" t="n">
        <v>46312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46312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53405-2024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45614</v>
      </c>
      <c r="E502" s="1" t="n">
        <v>46312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45595</v>
      </c>
      <c r="E503" s="1" t="n">
        <v>46312</v>
      </c>
      <c r="F503" t="inlineStr">
        <is>
          <t>KRONOBERGS LÄN</t>
        </is>
      </c>
      <c r="G503" t="inlineStr">
        <is>
          <t>LJUNGBY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46312</v>
      </c>
      <c r="F504" t="inlineStr">
        <is>
          <t>KRONOBERGS LÄN</t>
        </is>
      </c>
      <c r="G504" t="inlineStr">
        <is>
          <t>LJUNGBY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46312</v>
      </c>
      <c r="F505" t="inlineStr">
        <is>
          <t>KRONOBERGS LÄN</t>
        </is>
      </c>
      <c r="G505" t="inlineStr">
        <is>
          <t>LJUNGBY</t>
        </is>
      </c>
      <c r="I505" t="n">
        <v>9.6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46312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46312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45116</v>
      </c>
      <c r="E508" s="1" t="n">
        <v>46312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45116</v>
      </c>
      <c r="E509" s="1" t="n">
        <v>46312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46312</v>
      </c>
      <c r="F510" t="inlineStr">
        <is>
          <t>KRONOBERGS LÄN</t>
        </is>
      </c>
      <c r="G510" t="inlineStr">
        <is>
          <t>LJUNGBY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46312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46312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46312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44971</v>
      </c>
      <c r="E514" s="1" t="n">
        <v>46312</v>
      </c>
      <c r="F514" t="inlineStr">
        <is>
          <t>KRONOBERGS LÄN</t>
        </is>
      </c>
      <c r="G514" t="inlineStr">
        <is>
          <t>LJUNGBY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46312</v>
      </c>
      <c r="F515" t="inlineStr">
        <is>
          <t>KRONOBERGS LÄN</t>
        </is>
      </c>
      <c r="G515" t="inlineStr">
        <is>
          <t>LJUNGBY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46312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44937</v>
      </c>
      <c r="E517" s="1" t="n">
        <v>46312</v>
      </c>
      <c r="F517" t="inlineStr">
        <is>
          <t>KRONOBERGS LÄN</t>
        </is>
      </c>
      <c r="G517" t="inlineStr">
        <is>
          <t>LJUNGBY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46312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45977</v>
      </c>
      <c r="E519" s="1" t="n">
        <v>46312</v>
      </c>
      <c r="F519" t="inlineStr">
        <is>
          <t>KRONOBERGS LÄN</t>
        </is>
      </c>
      <c r="G519" t="inlineStr">
        <is>
          <t>LJUNGBY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46312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46312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9825-2022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44620</v>
      </c>
      <c r="E522" s="1" t="n">
        <v>46312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46312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46312</v>
      </c>
      <c r="F524" t="inlineStr">
        <is>
          <t>KRONOBERGS LÄN</t>
        </is>
      </c>
      <c r="G524" t="inlineStr">
        <is>
          <t>LJUNGBY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45628</v>
      </c>
      <c r="E525" s="1" t="n">
        <v>46312</v>
      </c>
      <c r="F525" t="inlineStr">
        <is>
          <t>KRONOBERGS LÄN</t>
        </is>
      </c>
      <c r="G525" t="inlineStr">
        <is>
          <t>LJUNGBY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46312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13.5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45981</v>
      </c>
      <c r="E527" s="1" t="n">
        <v>46312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46312</v>
      </c>
      <c r="F528" t="inlineStr">
        <is>
          <t>KRONOBERGS LÄN</t>
        </is>
      </c>
      <c r="G528" t="inlineStr">
        <is>
          <t>LJUNGBY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45980</v>
      </c>
      <c r="E529" s="1" t="n">
        <v>46312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57450-2025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46312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46312</v>
      </c>
      <c r="F531" t="inlineStr">
        <is>
          <t>KRONOBERGS LÄN</t>
        </is>
      </c>
      <c r="G531" t="inlineStr">
        <is>
          <t>LJUNGBY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46312</v>
      </c>
      <c r="F532" t="inlineStr">
        <is>
          <t>KRONOBERGS LÄN</t>
        </is>
      </c>
      <c r="G532" t="inlineStr">
        <is>
          <t>LJUNGBY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35963-2024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45533</v>
      </c>
      <c r="E533" s="1" t="n">
        <v>46312</v>
      </c>
      <c r="F533" t="inlineStr">
        <is>
          <t>KRONOBERGS LÄN</t>
        </is>
      </c>
      <c r="G533" t="inlineStr">
        <is>
          <t>LJUNGBY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46312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46312</v>
      </c>
      <c r="F535" t="inlineStr">
        <is>
          <t>KRONOBERGS LÄN</t>
        </is>
      </c>
      <c r="G535" t="inlineStr">
        <is>
          <t>LJUNGBY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46312</v>
      </c>
      <c r="F536" t="inlineStr">
        <is>
          <t>KRONOBERGS LÄN</t>
        </is>
      </c>
      <c r="G536" t="inlineStr">
        <is>
          <t>LJUNGBY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46312</v>
      </c>
      <c r="F537" t="inlineStr">
        <is>
          <t>KRONOBERGS LÄN</t>
        </is>
      </c>
      <c r="G537" t="inlineStr">
        <is>
          <t>LJUNGBY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45992</v>
      </c>
      <c r="E538" s="1" t="n">
        <v>46312</v>
      </c>
      <c r="F538" t="inlineStr">
        <is>
          <t>KRONOBERGS LÄN</t>
        </is>
      </c>
      <c r="G538" t="inlineStr">
        <is>
          <t>LJUNGBY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46312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46312</v>
      </c>
      <c r="F540" t="inlineStr">
        <is>
          <t>KRONOBERGS LÄN</t>
        </is>
      </c>
      <c r="G540" t="inlineStr">
        <is>
          <t>LJUNGBY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46312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46312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59778-2025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46312</v>
      </c>
      <c r="F543" t="inlineStr">
        <is>
          <t>KRONOBERGS LÄN</t>
        </is>
      </c>
      <c r="G543" t="inlineStr">
        <is>
          <t>LJUNGBY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46312</v>
      </c>
      <c r="F544" t="inlineStr">
        <is>
          <t>KRONOBERGS LÄN</t>
        </is>
      </c>
      <c r="G544" t="inlineStr">
        <is>
          <t>LJUNGBY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44895</v>
      </c>
      <c r="E545" s="1" t="n">
        <v>46312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57144-2022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44895</v>
      </c>
      <c r="E546" s="1" t="n">
        <v>46312</v>
      </c>
      <c r="F546" t="inlineStr">
        <is>
          <t>KRONOBERGS LÄN</t>
        </is>
      </c>
      <c r="G546" t="inlineStr">
        <is>
          <t>LJUNGBY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57157-2022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44895</v>
      </c>
      <c r="E547" s="1" t="n">
        <v>46312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46312</v>
      </c>
      <c r="F548" t="inlineStr">
        <is>
          <t>KRONOBERGS LÄN</t>
        </is>
      </c>
      <c r="G548" t="inlineStr">
        <is>
          <t>LJUNGBY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45546</v>
      </c>
      <c r="E549" s="1" t="n">
        <v>46312</v>
      </c>
      <c r="F549" t="inlineStr">
        <is>
          <t>KRONOBERGS LÄN</t>
        </is>
      </c>
      <c r="G549" t="inlineStr">
        <is>
          <t>LJUNGBY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60480-2025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45995</v>
      </c>
      <c r="E550" s="1" t="n">
        <v>46312</v>
      </c>
      <c r="F550" t="inlineStr">
        <is>
          <t>KRONOBERGS LÄN</t>
        </is>
      </c>
      <c r="G550" t="inlineStr">
        <is>
          <t>LJUNGBY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19120-2023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45048</v>
      </c>
      <c r="E551" s="1" t="n">
        <v>46312</v>
      </c>
      <c r="F551" t="inlineStr">
        <is>
          <t>KRONOBERGS LÄN</t>
        </is>
      </c>
      <c r="G551" t="inlineStr">
        <is>
          <t>LJUNGBY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46312</v>
      </c>
      <c r="F552" t="inlineStr">
        <is>
          <t>KRONOBERGS LÄN</t>
        </is>
      </c>
      <c r="G552" t="inlineStr">
        <is>
          <t>LJUNGBY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45993</v>
      </c>
      <c r="E553" s="1" t="n">
        <v>46312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45754</v>
      </c>
      <c r="E554" s="1" t="n">
        <v>46312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46312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46312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46312</v>
      </c>
      <c r="F557" t="inlineStr">
        <is>
          <t>KRONOBERGS LÄN</t>
        </is>
      </c>
      <c r="G557" t="inlineStr">
        <is>
          <t>LJUNGBY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46312</v>
      </c>
      <c r="F558" t="inlineStr">
        <is>
          <t>KRONOBERGS LÄN</t>
        </is>
      </c>
      <c r="G558" t="inlineStr">
        <is>
          <t>LJUNGBY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46312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64680-2023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46312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54910-2022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44886</v>
      </c>
      <c r="E561" s="1" t="n">
        <v>46312</v>
      </c>
      <c r="F561" t="inlineStr">
        <is>
          <t>KRONOBERGS LÄN</t>
        </is>
      </c>
      <c r="G561" t="inlineStr">
        <is>
          <t>LJUNGBY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61592-2023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46312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45179</v>
      </c>
      <c r="E563" s="1" t="n">
        <v>46312</v>
      </c>
      <c r="F563" t="inlineStr">
        <is>
          <t>KRONOBERGS LÄN</t>
        </is>
      </c>
      <c r="G563" t="inlineStr">
        <is>
          <t>LJUNGBY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46312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46006</v>
      </c>
      <c r="E565" s="1" t="n">
        <v>46312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45756</v>
      </c>
      <c r="E566" s="1" t="n">
        <v>46312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46312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46312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25048-2026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46174</v>
      </c>
      <c r="E569" s="1" t="n">
        <v>46312</v>
      </c>
      <c r="F569" t="inlineStr">
        <is>
          <t>KRONOBERGS LÄN</t>
        </is>
      </c>
      <c r="G569" t="inlineStr">
        <is>
          <t>LJUNGBY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46312</v>
      </c>
      <c r="F570" t="inlineStr">
        <is>
          <t>KRONOBERGS LÄN</t>
        </is>
      </c>
      <c r="G570" t="inlineStr">
        <is>
          <t>LJUNGBY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46312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46312</v>
      </c>
      <c r="F572" t="inlineStr">
        <is>
          <t>KRONOBERGS LÄN</t>
        </is>
      </c>
      <c r="G572" t="inlineStr">
        <is>
          <t>LJUNGBY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46008</v>
      </c>
      <c r="E573" s="1" t="n">
        <v>46312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46312</v>
      </c>
      <c r="F574" t="inlineStr">
        <is>
          <t>KRONOBERGS LÄN</t>
        </is>
      </c>
      <c r="G574" t="inlineStr">
        <is>
          <t>LJUNGBY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45401</v>
      </c>
      <c r="E575" s="1" t="n">
        <v>46312</v>
      </c>
      <c r="F575" t="inlineStr">
        <is>
          <t>KRONOBERGS LÄN</t>
        </is>
      </c>
      <c r="G575" t="inlineStr">
        <is>
          <t>LJUNGBY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52711-2024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45610</v>
      </c>
      <c r="E576" s="1" t="n">
        <v>46312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20608-2025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46312</v>
      </c>
      <c r="F577" t="inlineStr">
        <is>
          <t>KRONOBERGS LÄN</t>
        </is>
      </c>
      <c r="G577" t="inlineStr">
        <is>
          <t>LJUNGBY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46312</v>
      </c>
      <c r="F578" t="inlineStr">
        <is>
          <t>KRONOBERGS LÄN</t>
        </is>
      </c>
      <c r="G578" t="inlineStr">
        <is>
          <t>LJUNGBY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63656-2025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46014</v>
      </c>
      <c r="E579" s="1" t="n">
        <v>46312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46312</v>
      </c>
      <c r="F580" t="inlineStr">
        <is>
          <t>KRONOBERGS LÄN</t>
        </is>
      </c>
      <c r="G580" t="inlineStr">
        <is>
          <t>LJUNGBY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63354-2021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44508</v>
      </c>
      <c r="E581" s="1" t="n">
        <v>46312</v>
      </c>
      <c r="F581" t="inlineStr">
        <is>
          <t>KRONOBERGS LÄN</t>
        </is>
      </c>
      <c r="G581" t="inlineStr">
        <is>
          <t>LJUNGBY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46020</v>
      </c>
      <c r="E582" s="1" t="n">
        <v>46312</v>
      </c>
      <c r="F582" t="inlineStr">
        <is>
          <t>KRONOBERGS LÄN</t>
        </is>
      </c>
      <c r="G582" t="inlineStr">
        <is>
          <t>LJUNGBY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46312</v>
      </c>
      <c r="F583" t="inlineStr">
        <is>
          <t>KRONOBERGS LÄN</t>
        </is>
      </c>
      <c r="G583" t="inlineStr">
        <is>
          <t>LJUNGBY</t>
        </is>
      </c>
      <c r="H583" t="inlineStr">
        <is>
          <t>Kommuner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46024</v>
      </c>
      <c r="E584" s="1" t="n">
        <v>46312</v>
      </c>
      <c r="F584" t="inlineStr">
        <is>
          <t>KRONOBERGS LÄN</t>
        </is>
      </c>
      <c r="G584" t="inlineStr">
        <is>
          <t>LJUNGBY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55752-2023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45239</v>
      </c>
      <c r="E585" s="1" t="n">
        <v>46312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25295-2026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46312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59968-2025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45993</v>
      </c>
      <c r="E587" s="1" t="n">
        <v>46312</v>
      </c>
      <c r="F587" t="inlineStr">
        <is>
          <t>KRONOBERGS LÄN</t>
        </is>
      </c>
      <c r="G587" t="inlineStr">
        <is>
          <t>LJUNGBY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59969-2025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45993</v>
      </c>
      <c r="E588" s="1" t="n">
        <v>46312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44742</v>
      </c>
      <c r="E589" s="1" t="n">
        <v>46312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44974</v>
      </c>
      <c r="E590" s="1" t="n">
        <v>46312</v>
      </c>
      <c r="F590" t="inlineStr">
        <is>
          <t>KRONOBERGS LÄN</t>
        </is>
      </c>
      <c r="G590" t="inlineStr">
        <is>
          <t>LJUNGBY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46312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44587</v>
      </c>
      <c r="E592" s="1" t="n">
        <v>46312</v>
      </c>
      <c r="F592" t="inlineStr">
        <is>
          <t>KRONOBERGS LÄN</t>
        </is>
      </c>
      <c r="G592" t="inlineStr">
        <is>
          <t>LJUNGBY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46312</v>
      </c>
      <c r="F593" t="inlineStr">
        <is>
          <t>KRONOBERGS LÄN</t>
        </is>
      </c>
      <c r="G593" t="inlineStr">
        <is>
          <t>LJUNGBY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46312</v>
      </c>
      <c r="F594" t="inlineStr">
        <is>
          <t>KRONOBERGS LÄN</t>
        </is>
      </c>
      <c r="G594" t="inlineStr">
        <is>
          <t>LJUNGBY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46312</v>
      </c>
      <c r="F595" t="inlineStr">
        <is>
          <t>KRONOBERGS LÄN</t>
        </is>
      </c>
      <c r="G595" t="inlineStr">
        <is>
          <t>LJUNGBY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44959</v>
      </c>
      <c r="E596" s="1" t="n">
        <v>46312</v>
      </c>
      <c r="F596" t="inlineStr">
        <is>
          <t>KRONOBERGS LÄN</t>
        </is>
      </c>
      <c r="G596" t="inlineStr">
        <is>
          <t>LJUNGBY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46312</v>
      </c>
      <c r="F597" t="inlineStr">
        <is>
          <t>KRONOBERGS LÄN</t>
        </is>
      </c>
      <c r="G597" t="inlineStr">
        <is>
          <t>LJUNGBY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17635-2023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46312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46312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46312</v>
      </c>
      <c r="F600" t="inlineStr">
        <is>
          <t>KRONOBERGS LÄN</t>
        </is>
      </c>
      <c r="G600" t="inlineStr">
        <is>
          <t>LJUNGBY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46312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45593</v>
      </c>
      <c r="E602" s="1" t="n">
        <v>46312</v>
      </c>
      <c r="F602" t="inlineStr">
        <is>
          <t>KRONOBERGS LÄN</t>
        </is>
      </c>
      <c r="G602" t="inlineStr">
        <is>
          <t>LJUNGBY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46312</v>
      </c>
      <c r="F603" t="inlineStr">
        <is>
          <t>KRONOBERGS LÄN</t>
        </is>
      </c>
      <c r="G603" t="inlineStr">
        <is>
          <t>LJUNGBY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46312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42784-2023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46312</v>
      </c>
      <c r="F605" t="inlineStr">
        <is>
          <t>KRONOBERGS LÄN</t>
        </is>
      </c>
      <c r="G605" t="inlineStr">
        <is>
          <t>LJUNGBY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45390</v>
      </c>
      <c r="E606" s="1" t="n">
        <v>46312</v>
      </c>
      <c r="F606" t="inlineStr">
        <is>
          <t>KRONOBERGS LÄN</t>
        </is>
      </c>
      <c r="G606" t="inlineStr">
        <is>
          <t>LJUNGBY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73342-2021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44551</v>
      </c>
      <c r="E607" s="1" t="n">
        <v>46312</v>
      </c>
      <c r="F607" t="inlineStr">
        <is>
          <t>KRONOBERGS LÄN</t>
        </is>
      </c>
      <c r="G607" t="inlineStr">
        <is>
          <t>LJUNGBY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62198-2023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45267</v>
      </c>
      <c r="E608" s="1" t="n">
        <v>46312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46312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46312</v>
      </c>
      <c r="F610" t="inlineStr">
        <is>
          <t>KRONOBERGS LÄN</t>
        </is>
      </c>
      <c r="G610" t="inlineStr">
        <is>
          <t>LJUNGBY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46312</v>
      </c>
      <c r="F611" t="inlineStr">
        <is>
          <t>KRONOBERGS LÄN</t>
        </is>
      </c>
      <c r="G611" t="inlineStr">
        <is>
          <t>LJUNGBY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46312</v>
      </c>
      <c r="F612" t="inlineStr">
        <is>
          <t>KRONOBERGS LÄN</t>
        </is>
      </c>
      <c r="G612" t="inlineStr">
        <is>
          <t>LJUNGBY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46054</v>
      </c>
      <c r="E613" s="1" t="n">
        <v>46312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44971</v>
      </c>
      <c r="E614" s="1" t="n">
        <v>46312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46054</v>
      </c>
      <c r="E615" s="1" t="n">
        <v>46312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46312</v>
      </c>
      <c r="F616" t="inlineStr">
        <is>
          <t>KRONOBERGS LÄN</t>
        </is>
      </c>
      <c r="G616" t="inlineStr">
        <is>
          <t>LJUNGBY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46054</v>
      </c>
      <c r="E617" s="1" t="n">
        <v>46312</v>
      </c>
      <c r="F617" t="inlineStr">
        <is>
          <t>KRONOBERGS LÄN</t>
        </is>
      </c>
      <c r="G617" t="inlineStr">
        <is>
          <t>LJUNGBY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44750</v>
      </c>
      <c r="E618" s="1" t="n">
        <v>46312</v>
      </c>
      <c r="F618" t="inlineStr">
        <is>
          <t>KRONOBERGS LÄN</t>
        </is>
      </c>
      <c r="G618" t="inlineStr">
        <is>
          <t>LJUNGBY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46312</v>
      </c>
      <c r="F619" t="inlineStr">
        <is>
          <t>KRONOBERGS LÄN</t>
        </is>
      </c>
      <c r="G619" t="inlineStr">
        <is>
          <t>LJUNGBY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46312</v>
      </c>
      <c r="F620" t="inlineStr">
        <is>
          <t>KRONOBERGS LÄN</t>
        </is>
      </c>
      <c r="G620" t="inlineStr">
        <is>
          <t>LJUNGBY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46059</v>
      </c>
      <c r="E621" s="1" t="n">
        <v>46312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46312</v>
      </c>
      <c r="F622" t="inlineStr">
        <is>
          <t>KRONOBERGS LÄN</t>
        </is>
      </c>
      <c r="G622" t="inlineStr">
        <is>
          <t>LJUNGBY</t>
        </is>
      </c>
      <c r="H622" t="inlineStr">
        <is>
          <t>Kyrkan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46312</v>
      </c>
      <c r="F623" t="inlineStr">
        <is>
          <t>KRONOBERGS LÄN</t>
        </is>
      </c>
      <c r="G623" t="inlineStr">
        <is>
          <t>LJUNGBY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46312</v>
      </c>
      <c r="F624" t="inlineStr">
        <is>
          <t>KRONOBERGS LÄN</t>
        </is>
      </c>
      <c r="G624" t="inlineStr">
        <is>
          <t>LJUNGBY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26723-2026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46184</v>
      </c>
      <c r="E625" s="1" t="n">
        <v>46312</v>
      </c>
      <c r="F625" t="inlineStr">
        <is>
          <t>KRONOBERGS LÄN</t>
        </is>
      </c>
      <c r="G625" t="inlineStr">
        <is>
          <t>LJUNGBY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46312</v>
      </c>
      <c r="F626" t="inlineStr">
        <is>
          <t>KRONOBERGS LÄN</t>
        </is>
      </c>
      <c r="G626" t="inlineStr">
        <is>
          <t>LJUNGBY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46312</v>
      </c>
      <c r="F627" t="inlineStr">
        <is>
          <t>KRONOBERGS LÄN</t>
        </is>
      </c>
      <c r="G627" t="inlineStr">
        <is>
          <t>LJUNGBY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46312</v>
      </c>
      <c r="F628" t="inlineStr">
        <is>
          <t>KRONOBERGS LÄN</t>
        </is>
      </c>
      <c r="G628" t="inlineStr">
        <is>
          <t>LJUNGBY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44287-2023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46312</v>
      </c>
      <c r="F629" t="inlineStr">
        <is>
          <t>KRONOBERGS LÄN</t>
        </is>
      </c>
      <c r="G629" t="inlineStr">
        <is>
          <t>LJUNGBY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20284-2023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45056</v>
      </c>
      <c r="E630" s="1" t="n">
        <v>46312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46312</v>
      </c>
      <c r="F631" t="inlineStr">
        <is>
          <t>KRONOBERGS LÄN</t>
        </is>
      </c>
      <c r="G631" t="inlineStr">
        <is>
          <t>LJUNGBY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46312</v>
      </c>
      <c r="F632" t="inlineStr">
        <is>
          <t>KRONOBERGS LÄN</t>
        </is>
      </c>
      <c r="G632" t="inlineStr">
        <is>
          <t>LJUNGBY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45621</v>
      </c>
      <c r="E633" s="1" t="n">
        <v>46312</v>
      </c>
      <c r="F633" t="inlineStr">
        <is>
          <t>KRONOBERGS LÄN</t>
        </is>
      </c>
      <c r="G633" t="inlineStr">
        <is>
          <t>LJUNGBY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9070-2026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46069</v>
      </c>
      <c r="E634" s="1" t="n">
        <v>46312</v>
      </c>
      <c r="F634" t="inlineStr">
        <is>
          <t>KRONOBERGS LÄN</t>
        </is>
      </c>
      <c r="G634" t="inlineStr">
        <is>
          <t>LJUNGBY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45604</v>
      </c>
      <c r="E635" s="1" t="n">
        <v>46312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44802</v>
      </c>
      <c r="E636" s="1" t="n">
        <v>46312</v>
      </c>
      <c r="F636" t="inlineStr">
        <is>
          <t>KRONOBERGS LÄN</t>
        </is>
      </c>
      <c r="G636" t="inlineStr">
        <is>
          <t>LJUNGBY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45240</v>
      </c>
      <c r="E637" s="1" t="n">
        <v>46312</v>
      </c>
      <c r="F637" t="inlineStr">
        <is>
          <t>KRONOBERGS LÄN</t>
        </is>
      </c>
      <c r="G637" t="inlineStr">
        <is>
          <t>LJUNGBY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10711-2026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46312</v>
      </c>
      <c r="F638" t="inlineStr">
        <is>
          <t>KRONOBERGS LÄN</t>
        </is>
      </c>
      <c r="G638" t="inlineStr">
        <is>
          <t>LJUNGBY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46312</v>
      </c>
      <c r="F639" t="inlineStr">
        <is>
          <t>KRONOBERGS LÄN</t>
        </is>
      </c>
      <c r="G639" t="inlineStr">
        <is>
          <t>LJUNGBY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46312</v>
      </c>
      <c r="F640" t="inlineStr">
        <is>
          <t>KRONOBERGS LÄN</t>
        </is>
      </c>
      <c r="G640" t="inlineStr">
        <is>
          <t>LJUNGBY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45441</v>
      </c>
      <c r="E641" s="1" t="n">
        <v>46312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40966-2022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44825</v>
      </c>
      <c r="E642" s="1" t="n">
        <v>46312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45742</v>
      </c>
      <c r="E643" s="1" t="n">
        <v>46312</v>
      </c>
      <c r="F643" t="inlineStr">
        <is>
          <t>KRONOBERGS LÄN</t>
        </is>
      </c>
      <c r="G643" t="inlineStr">
        <is>
          <t>LJUNGBY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45735</v>
      </c>
      <c r="E644" s="1" t="n">
        <v>46312</v>
      </c>
      <c r="F644" t="inlineStr">
        <is>
          <t>KRONOBERGS LÄN</t>
        </is>
      </c>
      <c r="G644" t="inlineStr">
        <is>
          <t>LJUNGBY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45769</v>
      </c>
      <c r="E645" s="1" t="n">
        <v>46312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46312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63369-2023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45273</v>
      </c>
      <c r="E647" s="1" t="n">
        <v>46312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24334-2023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45081</v>
      </c>
      <c r="E648" s="1" t="n">
        <v>46312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45162</v>
      </c>
      <c r="E649" s="1" t="n">
        <v>46312</v>
      </c>
      <c r="F649" t="inlineStr">
        <is>
          <t>KRONOBERGS LÄN</t>
        </is>
      </c>
      <c r="G649" t="inlineStr">
        <is>
          <t>LJUNGBY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25427-2024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45463</v>
      </c>
      <c r="E650" s="1" t="n">
        <v>46312</v>
      </c>
      <c r="F650" t="inlineStr">
        <is>
          <t>KRONOBERGS LÄN</t>
        </is>
      </c>
      <c r="G650" t="inlineStr">
        <is>
          <t>LJUNGBY</t>
        </is>
      </c>
      <c r="H650" t="inlineStr">
        <is>
          <t>Sveaskog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46312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46312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46312</v>
      </c>
      <c r="F653" t="inlineStr">
        <is>
          <t>KRONOBERGS LÄN</t>
        </is>
      </c>
      <c r="G653" t="inlineStr">
        <is>
          <t>LJUNGBY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20168-2023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45055</v>
      </c>
      <c r="E654" s="1" t="n">
        <v>46312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45349</v>
      </c>
      <c r="E655" s="1" t="n">
        <v>46312</v>
      </c>
      <c r="F655" t="inlineStr">
        <is>
          <t>KRONOBERGS LÄN</t>
        </is>
      </c>
      <c r="G655" t="inlineStr">
        <is>
          <t>LJUNGBY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46312</v>
      </c>
      <c r="F656" t="inlineStr">
        <is>
          <t>KRONOBERGS LÄN</t>
        </is>
      </c>
      <c r="G656" t="inlineStr">
        <is>
          <t>LJUNGBY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46312</v>
      </c>
      <c r="F657" t="inlineStr">
        <is>
          <t>KRONOBERGS LÄN</t>
        </is>
      </c>
      <c r="G657" t="inlineStr">
        <is>
          <t>LJUNGBY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46312</v>
      </c>
      <c r="F658" t="inlineStr">
        <is>
          <t>KRONOBERGS LÄN</t>
        </is>
      </c>
      <c r="G658" t="inlineStr">
        <is>
          <t>LJUNGBY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46312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45131</v>
      </c>
      <c r="E660" s="1" t="n">
        <v>46312</v>
      </c>
      <c r="F660" t="inlineStr">
        <is>
          <t>KRONOBERGS LÄN</t>
        </is>
      </c>
      <c r="G660" t="inlineStr">
        <is>
          <t>LJUNGBY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46312</v>
      </c>
      <c r="F661" t="inlineStr">
        <is>
          <t>KRONOBERGS LÄN</t>
        </is>
      </c>
      <c r="G661" t="inlineStr">
        <is>
          <t>LJUNGBY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46312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52858-2024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46312</v>
      </c>
      <c r="F663" t="inlineStr">
        <is>
          <t>KRONOBERGS LÄN</t>
        </is>
      </c>
      <c r="G663" t="inlineStr">
        <is>
          <t>LJUNGBY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13781-2026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46312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46312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46312</v>
      </c>
      <c r="F666" t="inlineStr">
        <is>
          <t>KRONOBERGS LÄN</t>
        </is>
      </c>
      <c r="G666" t="inlineStr">
        <is>
          <t>LJUNGBY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46312</v>
      </c>
      <c r="F667" t="inlineStr">
        <is>
          <t>KRONOBERGS LÄN</t>
        </is>
      </c>
      <c r="G667" t="inlineStr">
        <is>
          <t>LJUNGBY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46312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46312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46097</v>
      </c>
      <c r="E670" s="1" t="n">
        <v>46312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46312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45509</v>
      </c>
      <c r="E672" s="1" t="n">
        <v>46312</v>
      </c>
      <c r="F672" t="inlineStr">
        <is>
          <t>KRONOBERGS LÄN</t>
        </is>
      </c>
      <c r="G672" t="inlineStr">
        <is>
          <t>LJUNGBY</t>
        </is>
      </c>
      <c r="H672" t="inlineStr">
        <is>
          <t>Sveaskog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45726</v>
      </c>
      <c r="E673" s="1" t="n">
        <v>46312</v>
      </c>
      <c r="F673" t="inlineStr">
        <is>
          <t>KRONOBERGS LÄN</t>
        </is>
      </c>
      <c r="G673" t="inlineStr">
        <is>
          <t>LJUNGBY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46312</v>
      </c>
      <c r="F674" t="inlineStr">
        <is>
          <t>KRONOBERGS LÄN</t>
        </is>
      </c>
      <c r="G674" t="inlineStr">
        <is>
          <t>LJUNGBY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46312</v>
      </c>
      <c r="F675" t="inlineStr">
        <is>
          <t>KRONOBERGS LÄN</t>
        </is>
      </c>
      <c r="G675" t="inlineStr">
        <is>
          <t>LJUNGBY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53411-2024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45614</v>
      </c>
      <c r="E676" s="1" t="n">
        <v>46312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53412-2024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45614</v>
      </c>
      <c r="E677" s="1" t="n">
        <v>46312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46312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15071-2026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46312</v>
      </c>
      <c r="F679" t="inlineStr">
        <is>
          <t>KRONOBERGS LÄN</t>
        </is>
      </c>
      <c r="G679" t="inlineStr">
        <is>
          <t>LJUNGBY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46312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45146</v>
      </c>
      <c r="E681" s="1" t="n">
        <v>46312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54984-2024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45620</v>
      </c>
      <c r="E682" s="1" t="n">
        <v>46312</v>
      </c>
      <c r="F682" t="inlineStr">
        <is>
          <t>KRONOBERGS LÄN</t>
        </is>
      </c>
      <c r="G682" t="inlineStr">
        <is>
          <t>LJUNGBY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46312</v>
      </c>
      <c r="F683" t="inlineStr">
        <is>
          <t>KRONOBERGS LÄN</t>
        </is>
      </c>
      <c r="G683" t="inlineStr">
        <is>
          <t>LJUNGBY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15766-2026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46312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46312</v>
      </c>
      <c r="F685" t="inlineStr">
        <is>
          <t>KRONOBERGS LÄN</t>
        </is>
      </c>
      <c r="G685" t="inlineStr">
        <is>
          <t>LJUNGBY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46312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46312</v>
      </c>
      <c r="F687" t="inlineStr">
        <is>
          <t>KRONOBERGS LÄN</t>
        </is>
      </c>
      <c r="G687" t="inlineStr">
        <is>
          <t>LJUNGBY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46312</v>
      </c>
      <c r="F688" t="inlineStr">
        <is>
          <t>KRONOBERGS LÄN</t>
        </is>
      </c>
      <c r="G688" t="inlineStr">
        <is>
          <t>LJUNGBY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16351-2026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46312</v>
      </c>
      <c r="F689" t="inlineStr">
        <is>
          <t>KRONOBERGS LÄN</t>
        </is>
      </c>
      <c r="G689" t="inlineStr">
        <is>
          <t>LJUNGBY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28825-2026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46312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46312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45236</v>
      </c>
      <c r="E692" s="1" t="n">
        <v>46312</v>
      </c>
      <c r="F692" t="inlineStr">
        <is>
          <t>KRONOBERGS LÄN</t>
        </is>
      </c>
      <c r="G692" t="inlineStr">
        <is>
          <t>LJUNGBY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44960</v>
      </c>
      <c r="E693" s="1" t="n">
        <v>46312</v>
      </c>
      <c r="F693" t="inlineStr">
        <is>
          <t>KRONOBERGS LÄN</t>
        </is>
      </c>
      <c r="G693" t="inlineStr">
        <is>
          <t>LJUNGBY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46312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46312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46312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44166-2023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45188</v>
      </c>
      <c r="E697" s="1" t="n">
        <v>46312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46312</v>
      </c>
      <c r="F698" t="inlineStr">
        <is>
          <t>KRONOBERGS LÄN</t>
        </is>
      </c>
      <c r="G698" t="inlineStr">
        <is>
          <t>LJUNGBY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46312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46312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1720-2023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44938</v>
      </c>
      <c r="E701" s="1" t="n">
        <v>46312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59688-2022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44908</v>
      </c>
      <c r="E702" s="1" t="n">
        <v>46312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46312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46312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46312</v>
      </c>
      <c r="F705" t="inlineStr">
        <is>
          <t>KRONOBERGS LÄN</t>
        </is>
      </c>
      <c r="G705" t="inlineStr">
        <is>
          <t>LJUNGBY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17246-2026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46312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22123-2022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44712</v>
      </c>
      <c r="E707" s="1" t="n">
        <v>46312</v>
      </c>
      <c r="F707" t="inlineStr">
        <is>
          <t>KRONOBERGS LÄN</t>
        </is>
      </c>
      <c r="G707" t="inlineStr">
        <is>
          <t>LJUNGBY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46312</v>
      </c>
      <c r="F708" t="inlineStr">
        <is>
          <t>KRONOBERGS LÄN</t>
        </is>
      </c>
      <c r="G708" t="inlineStr">
        <is>
          <t>LJUNGBY</t>
        </is>
      </c>
      <c r="H708" t="inlineStr">
        <is>
          <t>Sveaskog</t>
        </is>
      </c>
      <c r="I708" t="n">
        <v>14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45217</v>
      </c>
      <c r="E709" s="1" t="n">
        <v>46312</v>
      </c>
      <c r="F709" t="inlineStr">
        <is>
          <t>KRONOBERGS LÄN</t>
        </is>
      </c>
      <c r="G709" t="inlineStr">
        <is>
          <t>LJUNGBY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42747-2025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45908</v>
      </c>
      <c r="E710" s="1" t="n">
        <v>46312</v>
      </c>
      <c r="F710" t="inlineStr">
        <is>
          <t>KRONOBERGS LÄN</t>
        </is>
      </c>
      <c r="G710" t="inlineStr">
        <is>
          <t>LJUNGBY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54882-2024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45618</v>
      </c>
      <c r="E711" s="1" t="n">
        <v>46312</v>
      </c>
      <c r="F711" t="inlineStr">
        <is>
          <t>KRONOBERGS LÄN</t>
        </is>
      </c>
      <c r="G711" t="inlineStr">
        <is>
          <t>LJUNGBY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42209-2024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46312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46128</v>
      </c>
      <c r="E713" s="1" t="n">
        <v>46312</v>
      </c>
      <c r="F713" t="inlineStr">
        <is>
          <t>KRONOBERGS LÄN</t>
        </is>
      </c>
      <c r="G713" t="inlineStr">
        <is>
          <t>LJUNGBY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45509</v>
      </c>
      <c r="E714" s="1" t="n">
        <v>46312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59696-2022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46312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46312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46312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43320-2024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45568</v>
      </c>
      <c r="E718" s="1" t="n">
        <v>46312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46312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46312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44978</v>
      </c>
      <c r="E721" s="1" t="n">
        <v>46312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46312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46312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46312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46312</v>
      </c>
      <c r="F725" t="inlineStr">
        <is>
          <t>KRONOBERGS LÄN</t>
        </is>
      </c>
      <c r="G725" t="inlineStr">
        <is>
          <t>LJUNGBY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46312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46312</v>
      </c>
      <c r="F727" t="inlineStr">
        <is>
          <t>KRONOBERGS LÄN</t>
        </is>
      </c>
      <c r="G727" t="inlineStr">
        <is>
          <t>LJUNGBY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45903</v>
      </c>
      <c r="E728" s="1" t="n">
        <v>46312</v>
      </c>
      <c r="F728" t="inlineStr">
        <is>
          <t>KRONOBERGS LÄN</t>
        </is>
      </c>
      <c r="G728" t="inlineStr">
        <is>
          <t>LJUNGBY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46312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46312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13480-2023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45005</v>
      </c>
      <c r="E731" s="1" t="n">
        <v>46312</v>
      </c>
      <c r="F731" t="inlineStr">
        <is>
          <t>KRONOBERGS LÄN</t>
        </is>
      </c>
      <c r="G731" t="inlineStr">
        <is>
          <t>LJUNGBY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45702</v>
      </c>
      <c r="E732" s="1" t="n">
        <v>46312</v>
      </c>
      <c r="F732" t="inlineStr">
        <is>
          <t>KRONOBERGS LÄN</t>
        </is>
      </c>
      <c r="G732" t="inlineStr">
        <is>
          <t>LJUNGBY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33105-2023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45126</v>
      </c>
      <c r="E733" s="1" t="n">
        <v>46312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30720-2025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46312</v>
      </c>
      <c r="F734" t="inlineStr">
        <is>
          <t>KRONOBERGS LÄN</t>
        </is>
      </c>
      <c r="G734" t="inlineStr">
        <is>
          <t>LJUNGBY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14796-2025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45742</v>
      </c>
      <c r="E735" s="1" t="n">
        <v>46312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24787-2023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45084</v>
      </c>
      <c r="E736" s="1" t="n">
        <v>46312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10697-2025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45722</v>
      </c>
      <c r="E737" s="1" t="n">
        <v>46312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46312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46312</v>
      </c>
      <c r="F739" t="inlineStr">
        <is>
          <t>KRONOBERGS LÄN</t>
        </is>
      </c>
      <c r="G739" t="inlineStr">
        <is>
          <t>LJUNGBY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46312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16727-2025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45754</v>
      </c>
      <c r="E741" s="1" t="n">
        <v>46312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37164-2022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44806</v>
      </c>
      <c r="E742" s="1" t="n">
        <v>46312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53539-2024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45614</v>
      </c>
      <c r="E743" s="1" t="n">
        <v>46312</v>
      </c>
      <c r="F743" t="inlineStr">
        <is>
          <t>KRONOBERGS LÄN</t>
        </is>
      </c>
      <c r="G743" t="inlineStr">
        <is>
          <t>LJUNGBY</t>
        </is>
      </c>
      <c r="H743" t="inlineStr">
        <is>
          <t>Sveaskog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11509-2024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45372</v>
      </c>
      <c r="E744" s="1" t="n">
        <v>46312</v>
      </c>
      <c r="F744" t="inlineStr">
        <is>
          <t>KRONOBERGS LÄN</t>
        </is>
      </c>
      <c r="G744" t="inlineStr">
        <is>
          <t>LJUNGBY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53792-2024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46312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46312</v>
      </c>
      <c r="F746" t="inlineStr">
        <is>
          <t>KRONOBERGS LÄN</t>
        </is>
      </c>
      <c r="G746" t="inlineStr">
        <is>
          <t>LJUNGBY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32509-2023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45121</v>
      </c>
      <c r="E747" s="1" t="n">
        <v>46312</v>
      </c>
      <c r="F747" t="inlineStr">
        <is>
          <t>KRONOBERGS LÄN</t>
        </is>
      </c>
      <c r="G747" t="inlineStr">
        <is>
          <t>LJUNGBY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46312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46312</v>
      </c>
      <c r="F749" t="inlineStr">
        <is>
          <t>KRONOBERGS LÄN</t>
        </is>
      </c>
      <c r="G749" t="inlineStr">
        <is>
          <t>LJUNGBY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27843-2022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44743</v>
      </c>
      <c r="E750" s="1" t="n">
        <v>46312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10939-2023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46312</v>
      </c>
      <c r="F751" t="inlineStr">
        <is>
          <t>KRONOBERGS LÄN</t>
        </is>
      </c>
      <c r="G751" t="inlineStr">
        <is>
          <t>LJUNGBY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17286-2023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45035</v>
      </c>
      <c r="E752" s="1" t="n">
        <v>46312</v>
      </c>
      <c r="F752" t="inlineStr">
        <is>
          <t>KRONOBERGS LÄN</t>
        </is>
      </c>
      <c r="G752" t="inlineStr">
        <is>
          <t>LJUNGBY</t>
        </is>
      </c>
      <c r="I752" t="n">
        <v>10.4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45614</v>
      </c>
      <c r="E753" s="1" t="n">
        <v>46312</v>
      </c>
      <c r="F753" t="inlineStr">
        <is>
          <t>KRONOBERGS LÄN</t>
        </is>
      </c>
      <c r="G753" t="inlineStr">
        <is>
          <t>LJUNGBY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46063</v>
      </c>
      <c r="E754" s="1" t="n">
        <v>46312</v>
      </c>
      <c r="F754" t="inlineStr">
        <is>
          <t>KRONOBERGS LÄN</t>
        </is>
      </c>
      <c r="G754" t="inlineStr">
        <is>
          <t>LJUNGBY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46312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46864-2022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44851</v>
      </c>
      <c r="E756" s="1" t="n">
        <v>46312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10675-2023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44988</v>
      </c>
      <c r="E757" s="1" t="n">
        <v>46312</v>
      </c>
      <c r="F757" t="inlineStr">
        <is>
          <t>KRONOBERGS LÄN</t>
        </is>
      </c>
      <c r="G757" t="inlineStr">
        <is>
          <t>LJUNGBY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7597-2025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45705</v>
      </c>
      <c r="E758" s="1" t="n">
        <v>46312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46312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8835-2024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46312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37077-2026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46273</v>
      </c>
      <c r="E761" s="1" t="n">
        <v>46312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62948-2025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46009</v>
      </c>
      <c r="E762" s="1" t="n">
        <v>46312</v>
      </c>
      <c r="F762" t="inlineStr">
        <is>
          <t>KRONOBERGS LÄN</t>
        </is>
      </c>
      <c r="G762" t="inlineStr">
        <is>
          <t>LJUNGBY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45323</v>
      </c>
      <c r="E763" s="1" t="n">
        <v>46312</v>
      </c>
      <c r="F763" t="inlineStr">
        <is>
          <t>KRONOBERGS LÄN</t>
        </is>
      </c>
      <c r="G763" t="inlineStr">
        <is>
          <t>LJUNGBY</t>
        </is>
      </c>
      <c r="H763" t="inlineStr">
        <is>
          <t>Kommuner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11686-2024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45373</v>
      </c>
      <c r="E764" s="1" t="n">
        <v>46312</v>
      </c>
      <c r="F764" t="inlineStr">
        <is>
          <t>KRONOBERGS LÄN</t>
        </is>
      </c>
      <c r="G764" t="inlineStr">
        <is>
          <t>LJUNGBY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46273</v>
      </c>
      <c r="E765" s="1" t="n">
        <v>46312</v>
      </c>
      <c r="F765" t="inlineStr">
        <is>
          <t>KRONOBERGS LÄN</t>
        </is>
      </c>
      <c r="G765" t="inlineStr">
        <is>
          <t>LJUNGBY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62537-2022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44924</v>
      </c>
      <c r="E766" s="1" t="n">
        <v>46312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45621</v>
      </c>
      <c r="E767" s="1" t="n">
        <v>46312</v>
      </c>
      <c r="F767" t="inlineStr">
        <is>
          <t>KRONOBERGS LÄN</t>
        </is>
      </c>
      <c r="G767" t="inlineStr">
        <is>
          <t>LJUNGBY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37290-2026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46274</v>
      </c>
      <c r="E768" s="1" t="n">
        <v>46312</v>
      </c>
      <c r="F768" t="inlineStr">
        <is>
          <t>KRONOBERGS LÄN</t>
        </is>
      </c>
      <c r="G768" t="inlineStr">
        <is>
          <t>LJUNGBY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33114-2023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45126</v>
      </c>
      <c r="E769" s="1" t="n">
        <v>46312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59250-2023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45253</v>
      </c>
      <c r="E770" s="1" t="n">
        <v>46312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37721-2022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44810</v>
      </c>
      <c r="E771" s="1" t="n">
        <v>46312</v>
      </c>
      <c r="F771" t="inlineStr">
        <is>
          <t>KRONOBERGS LÄN</t>
        </is>
      </c>
      <c r="G771" t="inlineStr">
        <is>
          <t>LJUNGBY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62366-2022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44923</v>
      </c>
      <c r="E772" s="1" t="n">
        <v>46312</v>
      </c>
      <c r="F772" t="inlineStr">
        <is>
          <t>KRONOBERGS LÄN</t>
        </is>
      </c>
      <c r="G772" t="inlineStr">
        <is>
          <t>LJUNGBY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37292-2026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46274</v>
      </c>
      <c r="E773" s="1" t="n">
        <v>46312</v>
      </c>
      <c r="F773" t="inlineStr">
        <is>
          <t>KRONOBERGS LÄN</t>
        </is>
      </c>
      <c r="G773" t="inlineStr">
        <is>
          <t>LJUNGBY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43757-2023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45187</v>
      </c>
      <c r="E774" s="1" t="n">
        <v>46312</v>
      </c>
      <c r="F774" t="inlineStr">
        <is>
          <t>KRONOBERGS LÄN</t>
        </is>
      </c>
      <c r="G774" t="inlineStr">
        <is>
          <t>LJUNGBY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23319-2023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45076</v>
      </c>
      <c r="E775" s="1" t="n">
        <v>46312</v>
      </c>
      <c r="F775" t="inlineStr">
        <is>
          <t>KRONOBERGS LÄN</t>
        </is>
      </c>
      <c r="G775" t="inlineStr">
        <is>
          <t>LJUNGBY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37670-2026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46277</v>
      </c>
      <c r="E776" s="1" t="n">
        <v>46312</v>
      </c>
      <c r="F776" t="inlineStr">
        <is>
          <t>KRONOBERGS LÄN</t>
        </is>
      </c>
      <c r="G776" t="inlineStr">
        <is>
          <t>LJUNGBY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34209-2024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46312</v>
      </c>
      <c r="F777" t="inlineStr">
        <is>
          <t>KRONOBERGS LÄN</t>
        </is>
      </c>
      <c r="G777" t="inlineStr">
        <is>
          <t>LJUNGBY</t>
        </is>
      </c>
      <c r="I777" t="n">
        <v>12.1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37780-2026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46279</v>
      </c>
      <c r="E778" s="1" t="n">
        <v>46312</v>
      </c>
      <c r="F778" t="inlineStr">
        <is>
          <t>KRONOBERGS LÄN</t>
        </is>
      </c>
      <c r="G778" t="inlineStr">
        <is>
          <t>LJUNGBY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28323-2023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45099</v>
      </c>
      <c r="E779" s="1" t="n">
        <v>46312</v>
      </c>
      <c r="F779" t="inlineStr">
        <is>
          <t>KRONOBERGS LÄN</t>
        </is>
      </c>
      <c r="G779" t="inlineStr">
        <is>
          <t>LJUNGBY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10997-2022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44628</v>
      </c>
      <c r="E780" s="1" t="n">
        <v>46312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45119</v>
      </c>
      <c r="E781" s="1" t="n">
        <v>46312</v>
      </c>
      <c r="F781" t="inlineStr">
        <is>
          <t>KRONOBERGS LÄN</t>
        </is>
      </c>
      <c r="G781" t="inlineStr">
        <is>
          <t>LJUNGBY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10755-2023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44988</v>
      </c>
      <c r="E782" s="1" t="n">
        <v>46312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56385-2022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44887</v>
      </c>
      <c r="E783" s="1" t="n">
        <v>46312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51172-2022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44868</v>
      </c>
      <c r="E784" s="1" t="n">
        <v>46312</v>
      </c>
      <c r="F784" t="inlineStr">
        <is>
          <t>KRONOBERGS LÄN</t>
        </is>
      </c>
      <c r="G784" t="inlineStr">
        <is>
          <t>LJUNGBY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33075-2023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45126</v>
      </c>
      <c r="E785" s="1" t="n">
        <v>46312</v>
      </c>
      <c r="F785" t="inlineStr">
        <is>
          <t>KRONOBERGS LÄN</t>
        </is>
      </c>
      <c r="G785" t="inlineStr">
        <is>
          <t>LJUNGBY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44565</v>
      </c>
      <c r="E786" s="1" t="n">
        <v>46312</v>
      </c>
      <c r="F786" t="inlineStr">
        <is>
          <t>KRONOBERGS LÄN</t>
        </is>
      </c>
      <c r="G786" t="inlineStr">
        <is>
          <t>LJUNGBY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44276-2023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45188</v>
      </c>
      <c r="E787" s="1" t="n">
        <v>46312</v>
      </c>
      <c r="F787" t="inlineStr">
        <is>
          <t>KRONOBERGS LÄN</t>
        </is>
      </c>
      <c r="G787" t="inlineStr">
        <is>
          <t>LJUNGBY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38656-2024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45546</v>
      </c>
      <c r="E788" s="1" t="n">
        <v>46312</v>
      </c>
      <c r="F788" t="inlineStr">
        <is>
          <t>KRONOBERGS LÄN</t>
        </is>
      </c>
      <c r="G788" t="inlineStr">
        <is>
          <t>LJUNGBY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14230-2022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44651</v>
      </c>
      <c r="E789" s="1" t="n">
        <v>46312</v>
      </c>
      <c r="F789" t="inlineStr">
        <is>
          <t>KRONOBERGS LÄN</t>
        </is>
      </c>
      <c r="G789" t="inlineStr">
        <is>
          <t>LJUNGBY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32555-2026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46312</v>
      </c>
      <c r="F790" t="inlineStr">
        <is>
          <t>KRONOBERGS LÄN</t>
        </is>
      </c>
      <c r="G790" t="inlineStr">
        <is>
          <t>LJUNGBY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32770-2026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46241</v>
      </c>
      <c r="E791" s="1" t="n">
        <v>46312</v>
      </c>
      <c r="F791" t="inlineStr">
        <is>
          <t>KRONOBERGS LÄN</t>
        </is>
      </c>
      <c r="G791" t="inlineStr">
        <is>
          <t>LJUNGBY</t>
        </is>
      </c>
      <c r="H791" t="inlineStr">
        <is>
          <t>Kyrkan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45323</v>
      </c>
      <c r="E792" s="1" t="n">
        <v>46312</v>
      </c>
      <c r="F792" t="inlineStr">
        <is>
          <t>KRONOBERGS LÄN</t>
        </is>
      </c>
      <c r="G792" t="inlineStr">
        <is>
          <t>LJUNGBY</t>
        </is>
      </c>
      <c r="H792" t="inlineStr">
        <is>
          <t>Kommuner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46240</v>
      </c>
      <c r="E793" s="1" t="n">
        <v>46312</v>
      </c>
      <c r="F793" t="inlineStr">
        <is>
          <t>KRONOBERGS LÄN</t>
        </is>
      </c>
      <c r="G793" t="inlineStr">
        <is>
          <t>LJUNGBY</t>
        </is>
      </c>
      <c r="H793" t="inlineStr">
        <is>
          <t>Kyrkan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14476-2023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45012</v>
      </c>
      <c r="E794" s="1" t="n">
        <v>46312</v>
      </c>
      <c r="F794" t="inlineStr">
        <is>
          <t>KRONOBERGS LÄN</t>
        </is>
      </c>
      <c r="G794" t="inlineStr">
        <is>
          <t>LJUNGBY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42686-2023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45181</v>
      </c>
      <c r="E795" s="1" t="n">
        <v>46312</v>
      </c>
      <c r="F795" t="inlineStr">
        <is>
          <t>KRONOBERGS LÄN</t>
        </is>
      </c>
      <c r="G795" t="inlineStr">
        <is>
          <t>LJUNGBY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38407-2022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44812</v>
      </c>
      <c r="E796" s="1" t="n">
        <v>46312</v>
      </c>
      <c r="F796" t="inlineStr">
        <is>
          <t>KRONOBERGS LÄN</t>
        </is>
      </c>
      <c r="G796" t="inlineStr">
        <is>
          <t>LJUNGBY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46312</v>
      </c>
      <c r="F797" t="inlineStr">
        <is>
          <t>KRONOBERGS LÄN</t>
        </is>
      </c>
      <c r="G797" t="inlineStr">
        <is>
          <t>LJUNGBY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48243-2023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45205</v>
      </c>
      <c r="E798" s="1" t="n">
        <v>46312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44980</v>
      </c>
      <c r="E799" s="1" t="n">
        <v>46312</v>
      </c>
      <c r="F799" t="inlineStr">
        <is>
          <t>KRONOBERGS LÄN</t>
        </is>
      </c>
      <c r="G799" t="inlineStr">
        <is>
          <t>LJUNGBY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37648-2022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44810</v>
      </c>
      <c r="E800" s="1" t="n">
        <v>46312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46286</v>
      </c>
      <c r="E801" s="1" t="n">
        <v>46312</v>
      </c>
      <c r="F801" t="inlineStr">
        <is>
          <t>KRONOBERGS LÄN</t>
        </is>
      </c>
      <c r="G801" t="inlineStr">
        <is>
          <t>LJUNGBY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38987-2026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46286</v>
      </c>
      <c r="E802" s="1" t="n">
        <v>46312</v>
      </c>
      <c r="F802" t="inlineStr">
        <is>
          <t>KRONOBERGS LÄN</t>
        </is>
      </c>
      <c r="G802" t="inlineStr">
        <is>
          <t>LJUNGBY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53865-2023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46312</v>
      </c>
      <c r="F803" t="inlineStr">
        <is>
          <t>KRONOBERGS LÄN</t>
        </is>
      </c>
      <c r="G803" t="inlineStr">
        <is>
          <t>LJUNGBY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17298-2023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45035</v>
      </c>
      <c r="E804" s="1" t="n">
        <v>46312</v>
      </c>
      <c r="F804" t="inlineStr">
        <is>
          <t>KRONOBERGS LÄN</t>
        </is>
      </c>
      <c r="G804" t="inlineStr">
        <is>
          <t>LJUNGBY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45077</v>
      </c>
      <c r="E805" s="1" t="n">
        <v>46312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44945</v>
      </c>
      <c r="E806" s="1" t="n">
        <v>46312</v>
      </c>
      <c r="F806" t="inlineStr">
        <is>
          <t>KRONOBERGS LÄN</t>
        </is>
      </c>
      <c r="G806" t="inlineStr">
        <is>
          <t>LJUNGBY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49084-2024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45594</v>
      </c>
      <c r="E807" s="1" t="n">
        <v>46312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39125-2026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46287</v>
      </c>
      <c r="E808" s="1" t="n">
        <v>46312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32843-2026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46312</v>
      </c>
      <c r="F809" t="inlineStr">
        <is>
          <t>KRONOBERGS LÄN</t>
        </is>
      </c>
      <c r="G809" t="inlineStr">
        <is>
          <t>LJUNGBY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46312</v>
      </c>
      <c r="F810" t="inlineStr">
        <is>
          <t>KRONOBERGS LÄN</t>
        </is>
      </c>
      <c r="G810" t="inlineStr">
        <is>
          <t>LJUNGBY</t>
        </is>
      </c>
      <c r="H810" t="inlineStr">
        <is>
          <t>Sveaskog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23654-2022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44721</v>
      </c>
      <c r="E811" s="1" t="n">
        <v>46312</v>
      </c>
      <c r="F811" t="inlineStr">
        <is>
          <t>KRONOBERGS LÄN</t>
        </is>
      </c>
      <c r="G811" t="inlineStr">
        <is>
          <t>LJUNGBY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45300</v>
      </c>
      <c r="E812" s="1" t="n">
        <v>46312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49302-2023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45210</v>
      </c>
      <c r="E813" s="1" t="n">
        <v>46312</v>
      </c>
      <c r="F813" t="inlineStr">
        <is>
          <t>KRONOBERGS LÄN</t>
        </is>
      </c>
      <c r="G813" t="inlineStr">
        <is>
          <t>LJUNGBY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44903</v>
      </c>
      <c r="E814" s="1" t="n">
        <v>46312</v>
      </c>
      <c r="F814" t="inlineStr">
        <is>
          <t>KRONOBERGS LÄN</t>
        </is>
      </c>
      <c r="G814" t="inlineStr">
        <is>
          <t>LJUNGBY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46287</v>
      </c>
      <c r="E815" s="1" t="n">
        <v>46312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32869-2026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46312</v>
      </c>
      <c r="F816" t="inlineStr">
        <is>
          <t>KRONOBERGS LÄN</t>
        </is>
      </c>
      <c r="G816" t="inlineStr">
        <is>
          <t>LJUNGBY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21758-2023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45065</v>
      </c>
      <c r="E817" s="1" t="n">
        <v>46312</v>
      </c>
      <c r="F817" t="inlineStr">
        <is>
          <t>KRONOBERGS LÄN</t>
        </is>
      </c>
      <c r="G817" t="inlineStr">
        <is>
          <t>LJUNGBY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52291-2023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45224</v>
      </c>
      <c r="E818" s="1" t="n">
        <v>46312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51710-2024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46312</v>
      </c>
      <c r="F819" t="inlineStr">
        <is>
          <t>KRONOBERGS LÄN</t>
        </is>
      </c>
      <c r="G819" t="inlineStr">
        <is>
          <t>LJUNGBY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46312</v>
      </c>
      <c r="F820" t="inlineStr">
        <is>
          <t>KRONOBERGS LÄN</t>
        </is>
      </c>
      <c r="G820" t="inlineStr">
        <is>
          <t>LJUNGBY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23160-2023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45075</v>
      </c>
      <c r="E821" s="1" t="n">
        <v>46312</v>
      </c>
      <c r="F821" t="inlineStr">
        <is>
          <t>KRONOBERGS LÄN</t>
        </is>
      </c>
      <c r="G821" t="inlineStr">
        <is>
          <t>LJUNGBY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46224</v>
      </c>
      <c r="E822" s="1" t="n">
        <v>46312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33475-2026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46246</v>
      </c>
      <c r="E823" s="1" t="n">
        <v>46312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51852-2023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45223</v>
      </c>
      <c r="E824" s="1" t="n">
        <v>46312</v>
      </c>
      <c r="F824" t="inlineStr">
        <is>
          <t>KRONOBERGS LÄN</t>
        </is>
      </c>
      <c r="G824" t="inlineStr">
        <is>
          <t>LJUNGBY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51856-2023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45223</v>
      </c>
      <c r="E825" s="1" t="n">
        <v>46312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39535-2026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46289</v>
      </c>
      <c r="E826" s="1" t="n">
        <v>46312</v>
      </c>
      <c r="F826" t="inlineStr">
        <is>
          <t>KRONOBERGS LÄN</t>
        </is>
      </c>
      <c r="G826" t="inlineStr">
        <is>
          <t>LJUNGBY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45071</v>
      </c>
      <c r="E827" s="1" t="n">
        <v>46312</v>
      </c>
      <c r="F827" t="inlineStr">
        <is>
          <t>KRONOBERGS LÄN</t>
        </is>
      </c>
      <c r="G827" t="inlineStr">
        <is>
          <t>LJUNGBY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45071</v>
      </c>
      <c r="E828" s="1" t="n">
        <v>46312</v>
      </c>
      <c r="F828" t="inlineStr">
        <is>
          <t>KRONOBERGS LÄN</t>
        </is>
      </c>
      <c r="G828" t="inlineStr">
        <is>
          <t>LJUNGBY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12939-2022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44642</v>
      </c>
      <c r="E829" s="1" t="n">
        <v>46312</v>
      </c>
      <c r="F829" t="inlineStr">
        <is>
          <t>KRONOBERGS LÄN</t>
        </is>
      </c>
      <c r="G829" t="inlineStr">
        <is>
          <t>LJUNGBY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45301</v>
      </c>
      <c r="E830" s="1" t="n">
        <v>46312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22122-2022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46312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45919-2023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45195</v>
      </c>
      <c r="E832" s="1" t="n">
        <v>46312</v>
      </c>
      <c r="F832" t="inlineStr">
        <is>
          <t>KRONOBERGS LÄN</t>
        </is>
      </c>
      <c r="G832" t="inlineStr">
        <is>
          <t>LJUNGBY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22610-2023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45071</v>
      </c>
      <c r="E833" s="1" t="n">
        <v>46312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22613-2023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45071</v>
      </c>
      <c r="E834" s="1" t="n">
        <v>46312</v>
      </c>
      <c r="F834" t="inlineStr">
        <is>
          <t>KRONOBERGS LÄN</t>
        </is>
      </c>
      <c r="G834" t="inlineStr">
        <is>
          <t>LJUNGBY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7535-2025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45705</v>
      </c>
      <c r="E835" s="1" t="n">
        <v>46312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7103-2025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45701</v>
      </c>
      <c r="E836" s="1" t="n">
        <v>46312</v>
      </c>
      <c r="F836" t="inlineStr">
        <is>
          <t>KRONOBERGS LÄN</t>
        </is>
      </c>
      <c r="G836" t="inlineStr">
        <is>
          <t>LJUNGBY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45940</v>
      </c>
      <c r="E837" s="1" t="n">
        <v>46312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56818-2024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45628</v>
      </c>
      <c r="E838" s="1" t="n">
        <v>46312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46181-2024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45581</v>
      </c>
      <c r="E839" s="1" t="n">
        <v>46312</v>
      </c>
      <c r="F839" t="inlineStr">
        <is>
          <t>KRONOBERGS LÄN</t>
        </is>
      </c>
      <c r="G839" t="inlineStr">
        <is>
          <t>LJUNGBY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46292</v>
      </c>
      <c r="E840" s="1" t="n">
        <v>46312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46312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58214-2023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45250</v>
      </c>
      <c r="E842" s="1" t="n">
        <v>46312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39730-2022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44819</v>
      </c>
      <c r="E843" s="1" t="n">
        <v>46312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36365-2023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45152</v>
      </c>
      <c r="E844" s="1" t="n">
        <v>46312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27630-2023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45097</v>
      </c>
      <c r="E845" s="1" t="n">
        <v>46312</v>
      </c>
      <c r="F845" t="inlineStr">
        <is>
          <t>KRONOBERGS LÄN</t>
        </is>
      </c>
      <c r="G845" t="inlineStr">
        <is>
          <t>LJUNGBY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33499-2023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45131</v>
      </c>
      <c r="E846" s="1" t="n">
        <v>46312</v>
      </c>
      <c r="F846" t="inlineStr">
        <is>
          <t>KRONOBERGS LÄN</t>
        </is>
      </c>
      <c r="G846" t="inlineStr">
        <is>
          <t>LJUNGBY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45441</v>
      </c>
      <c r="E847" s="1" t="n">
        <v>46312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33500-2023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45131</v>
      </c>
      <c r="E848" s="1" t="n">
        <v>46312</v>
      </c>
      <c r="F848" t="inlineStr">
        <is>
          <t>KRONOBERGS LÄN</t>
        </is>
      </c>
      <c r="G848" t="inlineStr">
        <is>
          <t>LJUNGBY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53789-2024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45615</v>
      </c>
      <c r="E849" s="1" t="n">
        <v>46312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16910-2023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45033</v>
      </c>
      <c r="E850" s="1" t="n">
        <v>46312</v>
      </c>
      <c r="F850" t="inlineStr">
        <is>
          <t>KRONOBERGS LÄN</t>
        </is>
      </c>
      <c r="G850" t="inlineStr">
        <is>
          <t>LJUNGBY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34085-2026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46252</v>
      </c>
      <c r="E851" s="1" t="n">
        <v>46312</v>
      </c>
      <c r="F851" t="inlineStr">
        <is>
          <t>KRONOBERGS LÄN</t>
        </is>
      </c>
      <c r="G851" t="inlineStr">
        <is>
          <t>LJUNGBY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1846-2024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45307</v>
      </c>
      <c r="E852" s="1" t="n">
        <v>46312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45764</v>
      </c>
      <c r="E853" s="1" t="n">
        <v>46312</v>
      </c>
      <c r="F853" t="inlineStr">
        <is>
          <t>KRONOBERGS LÄN</t>
        </is>
      </c>
      <c r="G853" t="inlineStr">
        <is>
          <t>LJUNGBY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55004-2022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46312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46312</v>
      </c>
      <c r="F855" t="inlineStr">
        <is>
          <t>KRONOBERGS LÄN</t>
        </is>
      </c>
      <c r="G855" t="inlineStr">
        <is>
          <t>LJUNGBY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52843-2023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45226</v>
      </c>
      <c r="E856" s="1" t="n">
        <v>46312</v>
      </c>
      <c r="F856" t="inlineStr">
        <is>
          <t>KRONOBERGS LÄN</t>
        </is>
      </c>
      <c r="G856" t="inlineStr">
        <is>
          <t>LJUNGBY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1562-2024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45306</v>
      </c>
      <c r="E857" s="1" t="n">
        <v>46312</v>
      </c>
      <c r="F857" t="inlineStr">
        <is>
          <t>KRONOBERGS LÄN</t>
        </is>
      </c>
      <c r="G857" t="inlineStr">
        <is>
          <t>LJUNGBY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38976-2024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45548</v>
      </c>
      <c r="E858" s="1" t="n">
        <v>46312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44985</v>
      </c>
      <c r="E859" s="1" t="n">
        <v>46312</v>
      </c>
      <c r="F859" t="inlineStr">
        <is>
          <t>KRONOBERGS LÄN</t>
        </is>
      </c>
      <c r="G859" t="inlineStr">
        <is>
          <t>LJUNGBY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9919-2023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44985</v>
      </c>
      <c r="E860" s="1" t="n">
        <v>46312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40338-2026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46294</v>
      </c>
      <c r="E861" s="1" t="n">
        <v>46312</v>
      </c>
      <c r="F861" t="inlineStr">
        <is>
          <t>KRONOBERGS LÄN</t>
        </is>
      </c>
      <c r="G861" t="inlineStr">
        <is>
          <t>LJUNGBY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11893-2023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44995</v>
      </c>
      <c r="E862" s="1" t="n">
        <v>46312</v>
      </c>
      <c r="F862" t="inlineStr">
        <is>
          <t>KRONOBERGS LÄN</t>
        </is>
      </c>
      <c r="G862" t="inlineStr">
        <is>
          <t>LJUNGBY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42270-2024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46312</v>
      </c>
      <c r="F863" t="inlineStr">
        <is>
          <t>KRONOBERGS LÄN</t>
        </is>
      </c>
      <c r="G863" t="inlineStr">
        <is>
          <t>LJUNGBY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48930-2024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46312</v>
      </c>
      <c r="F864" t="inlineStr">
        <is>
          <t>KRONOBERGS LÄN</t>
        </is>
      </c>
      <c r="G864" t="inlineStr">
        <is>
          <t>LJUNGBY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62994-2023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45272</v>
      </c>
      <c r="E865" s="1" t="n">
        <v>46312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62858-2023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45272</v>
      </c>
      <c r="E866" s="1" t="n">
        <v>46312</v>
      </c>
      <c r="F866" t="inlineStr">
        <is>
          <t>KRONOBERGS LÄN</t>
        </is>
      </c>
      <c r="G866" t="inlineStr">
        <is>
          <t>LJUNGBY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62504-2022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44924</v>
      </c>
      <c r="E867" s="1" t="n">
        <v>46312</v>
      </c>
      <c r="F867" t="inlineStr">
        <is>
          <t>KRONOBERGS LÄN</t>
        </is>
      </c>
      <c r="G867" t="inlineStr">
        <is>
          <t>LJUNGBY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56774-2024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45628</v>
      </c>
      <c r="E868" s="1" t="n">
        <v>46312</v>
      </c>
      <c r="F868" t="inlineStr">
        <is>
          <t>KRONOBERGS LÄN</t>
        </is>
      </c>
      <c r="G868" t="inlineStr">
        <is>
          <t>LJUNGBY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14943-2022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44657</v>
      </c>
      <c r="E869" s="1" t="n">
        <v>46312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34300-2026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46253</v>
      </c>
      <c r="E870" s="1" t="n">
        <v>46312</v>
      </c>
      <c r="F870" t="inlineStr">
        <is>
          <t>KRONOBERGS LÄN</t>
        </is>
      </c>
      <c r="G870" t="inlineStr">
        <is>
          <t>LJUNGBY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40757-2026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46296</v>
      </c>
      <c r="E871" s="1" t="n">
        <v>46312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40760-2026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46296</v>
      </c>
      <c r="E872" s="1" t="n">
        <v>46312</v>
      </c>
      <c r="F872" t="inlineStr">
        <is>
          <t>KRONOBERGS LÄN</t>
        </is>
      </c>
      <c r="G872" t="inlineStr">
        <is>
          <t>LJUNGBY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46254</v>
      </c>
      <c r="E873" s="1" t="n">
        <v>46312</v>
      </c>
      <c r="F873" t="inlineStr">
        <is>
          <t>KRONOBERGS LÄN</t>
        </is>
      </c>
      <c r="G873" t="inlineStr">
        <is>
          <t>LJUNGBY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22432-2026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46312</v>
      </c>
      <c r="F874" t="inlineStr">
        <is>
          <t>KRONOBERGS LÄN</t>
        </is>
      </c>
      <c r="G874" t="inlineStr">
        <is>
          <t>LJUNGBY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46154</v>
      </c>
      <c r="E875" s="1" t="n">
        <v>46312</v>
      </c>
      <c r="F875" t="inlineStr">
        <is>
          <t>KRONOBERGS LÄN</t>
        </is>
      </c>
      <c r="G875" t="inlineStr">
        <is>
          <t>LJUNGBY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39948-2026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46290</v>
      </c>
      <c r="E876" s="1" t="n">
        <v>46312</v>
      </c>
      <c r="F876" t="inlineStr">
        <is>
          <t>KRONOBERGS LÄN</t>
        </is>
      </c>
      <c r="G876" t="inlineStr">
        <is>
          <t>LJUNGBY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12406-2023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44999</v>
      </c>
      <c r="E877" s="1" t="n">
        <v>46312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46312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39091-2023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45164</v>
      </c>
      <c r="E879" s="1" t="n">
        <v>46312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57206-2024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45629</v>
      </c>
      <c r="E880" s="1" t="n">
        <v>46312</v>
      </c>
      <c r="F880" t="inlineStr">
        <is>
          <t>KRONOBERGS LÄN</t>
        </is>
      </c>
      <c r="G880" t="inlineStr">
        <is>
          <t>LJUNGBY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36373-2024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45534</v>
      </c>
      <c r="E881" s="1" t="n">
        <v>46312</v>
      </c>
      <c r="F881" t="inlineStr">
        <is>
          <t>KRONOBERGS LÄN</t>
        </is>
      </c>
      <c r="G881" t="inlineStr">
        <is>
          <t>LJUNGBY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45708</v>
      </c>
      <c r="E882" s="1" t="n">
        <v>46312</v>
      </c>
      <c r="F882" t="inlineStr">
        <is>
          <t>KRONOBERGS LÄN</t>
        </is>
      </c>
      <c r="G882" t="inlineStr">
        <is>
          <t>LJUNGBY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46312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21809-2025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45783</v>
      </c>
      <c r="E884" s="1" t="n">
        <v>46312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21805-2025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45783</v>
      </c>
      <c r="E885" s="1" t="n">
        <v>46312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45783</v>
      </c>
      <c r="E886" s="1" t="n">
        <v>46312</v>
      </c>
      <c r="F886" t="inlineStr">
        <is>
          <t>KRONOBERGS LÄN</t>
        </is>
      </c>
      <c r="G886" t="inlineStr">
        <is>
          <t>LJUNGBY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15673-2023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45021</v>
      </c>
      <c r="E887" s="1" t="n">
        <v>46312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21807-2025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45783</v>
      </c>
      <c r="E888" s="1" t="n">
        <v>46312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21813-2025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45783</v>
      </c>
      <c r="E889" s="1" t="n">
        <v>46312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21816-2025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45783</v>
      </c>
      <c r="E890" s="1" t="n">
        <v>46312</v>
      </c>
      <c r="F890" t="inlineStr">
        <is>
          <t>KRONOBERGS LÄN</t>
        </is>
      </c>
      <c r="G890" t="inlineStr">
        <is>
          <t>LJUNGBY</t>
        </is>
      </c>
      <c r="I890" t="n">
        <v>0.3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13892-2026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46098</v>
      </c>
      <c r="E891" s="1" t="n">
        <v>46312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8251-2025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45708</v>
      </c>
      <c r="E892" s="1" t="n">
        <v>46312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41035-2026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46298</v>
      </c>
      <c r="E893" s="1" t="n">
        <v>46312</v>
      </c>
      <c r="F893" t="inlineStr">
        <is>
          <t>KRONOBERGS LÄN</t>
        </is>
      </c>
      <c r="G893" t="inlineStr">
        <is>
          <t>LJUNGBY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56799-2024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45628</v>
      </c>
      <c r="E894" s="1" t="n">
        <v>46312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38148-2023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45161</v>
      </c>
      <c r="E895" s="1" t="n">
        <v>46312</v>
      </c>
      <c r="F895" t="inlineStr">
        <is>
          <t>KRONOBERGS LÄN</t>
        </is>
      </c>
      <c r="G895" t="inlineStr">
        <is>
          <t>LJUNGBY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45734</v>
      </c>
      <c r="E896" s="1" t="n">
        <v>46312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11356-2024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46312</v>
      </c>
      <c r="F897" t="inlineStr">
        <is>
          <t>KRONOBERGS LÄN</t>
        </is>
      </c>
      <c r="G897" t="inlineStr">
        <is>
          <t>LJUNGBY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46312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39359-2023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45166</v>
      </c>
      <c r="E899" s="1" t="n">
        <v>46312</v>
      </c>
      <c r="F899" t="inlineStr">
        <is>
          <t>KRONOBERGS LÄN</t>
        </is>
      </c>
      <c r="G899" t="inlineStr">
        <is>
          <t>LJUNGBY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41669-2026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46301</v>
      </c>
      <c r="E900" s="1" t="n">
        <v>46312</v>
      </c>
      <c r="F900" t="inlineStr">
        <is>
          <t>KRONOBERGS LÄN</t>
        </is>
      </c>
      <c r="G900" t="inlineStr">
        <is>
          <t>LJUNGBY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17145-2025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45756</v>
      </c>
      <c r="E901" s="1" t="n">
        <v>46312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32044-2024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45510</v>
      </c>
      <c r="E902" s="1" t="n">
        <v>46312</v>
      </c>
      <c r="F902" t="inlineStr">
        <is>
          <t>KRONOBERGS LÄN</t>
        </is>
      </c>
      <c r="G902" t="inlineStr">
        <is>
          <t>LJUNGBY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3782-2025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45681</v>
      </c>
      <c r="E903" s="1" t="n">
        <v>46312</v>
      </c>
      <c r="F903" t="inlineStr">
        <is>
          <t>KRONOBERGS LÄN</t>
        </is>
      </c>
      <c r="G903" t="inlineStr">
        <is>
          <t>LJUNGBY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45510</v>
      </c>
      <c r="E904" s="1" t="n">
        <v>46312</v>
      </c>
      <c r="F904" t="inlineStr">
        <is>
          <t>KRONOBERGS LÄN</t>
        </is>
      </c>
      <c r="G904" t="inlineStr">
        <is>
          <t>LJUNGBY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56877-2024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45628</v>
      </c>
      <c r="E905" s="1" t="n">
        <v>46312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41668-2026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46302</v>
      </c>
      <c r="E906" s="1" t="n">
        <v>46312</v>
      </c>
      <c r="F906" t="inlineStr">
        <is>
          <t>KRONOBERGS LÄN</t>
        </is>
      </c>
      <c r="G906" t="inlineStr">
        <is>
          <t>LJUNGBY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34985-2026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46259</v>
      </c>
      <c r="E907" s="1" t="n">
        <v>46312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23398-2025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45792</v>
      </c>
      <c r="E908" s="1" t="n">
        <v>46312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23808-2025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46312</v>
      </c>
      <c r="F909" t="inlineStr">
        <is>
          <t>KRONOBERGS LÄN</t>
        </is>
      </c>
      <c r="G909" t="inlineStr">
        <is>
          <t>LJUNGBY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42227-2026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46307</v>
      </c>
      <c r="E910" s="1" t="n">
        <v>46312</v>
      </c>
      <c r="F910" t="inlineStr">
        <is>
          <t>KRONOBERGS LÄN</t>
        </is>
      </c>
      <c r="G910" t="inlineStr">
        <is>
          <t>LJUNGBY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49609-2024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45596</v>
      </c>
      <c r="E911" s="1" t="n">
        <v>46312</v>
      </c>
      <c r="F911" t="inlineStr">
        <is>
          <t>KRONOBERGS LÄN</t>
        </is>
      </c>
      <c r="G911" t="inlineStr">
        <is>
          <t>LJUNGBY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44927</v>
      </c>
      <c r="E912" s="1" t="n">
        <v>46312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24089-2025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45796</v>
      </c>
      <c r="E913" s="1" t="n">
        <v>46312</v>
      </c>
      <c r="F913" t="inlineStr">
        <is>
          <t>KRONOBERGS LÄN</t>
        </is>
      </c>
      <c r="G913" t="inlineStr">
        <is>
          <t>LJUNGBY</t>
        </is>
      </c>
      <c r="H913" t="inlineStr">
        <is>
          <t>Sveaskog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24108-2025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45796</v>
      </c>
      <c r="E914" s="1" t="n">
        <v>46312</v>
      </c>
      <c r="F914" t="inlineStr">
        <is>
          <t>KRONOBERGS LÄN</t>
        </is>
      </c>
      <c r="G914" t="inlineStr">
        <is>
          <t>LJUNGBY</t>
        </is>
      </c>
      <c r="H914" t="inlineStr">
        <is>
          <t>Sveaskog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24084-2025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45796</v>
      </c>
      <c r="E915" s="1" t="n">
        <v>46312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49541-2024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45596</v>
      </c>
      <c r="E916" s="1" t="n">
        <v>46312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42205-2026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46305</v>
      </c>
      <c r="E917" s="1" t="n">
        <v>46312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24097-2025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45796</v>
      </c>
      <c r="E918" s="1" t="n">
        <v>46312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42275-2026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46307</v>
      </c>
      <c r="E919" s="1" t="n">
        <v>46312</v>
      </c>
      <c r="F919" t="inlineStr">
        <is>
          <t>KRONOBERGS LÄN</t>
        </is>
      </c>
      <c r="G919" t="inlineStr">
        <is>
          <t>LJUNGBY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42295-2026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46307</v>
      </c>
      <c r="E920" s="1" t="n">
        <v>46312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42274-2026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46307</v>
      </c>
      <c r="E921" s="1" t="n">
        <v>46312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42232-2024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45562</v>
      </c>
      <c r="E922" s="1" t="n">
        <v>46312</v>
      </c>
      <c r="F922" t="inlineStr">
        <is>
          <t>KRONOBERGS LÄN</t>
        </is>
      </c>
      <c r="G922" t="inlineStr">
        <is>
          <t>LJUNGBY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37318-2023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45156</v>
      </c>
      <c r="E923" s="1" t="n">
        <v>46312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59366-2023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45253</v>
      </c>
      <c r="E924" s="1" t="n">
        <v>46312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61141-2024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45645</v>
      </c>
      <c r="E925" s="1" t="n">
        <v>46312</v>
      </c>
      <c r="F925" t="inlineStr">
        <is>
          <t>KRONOBERGS LÄN</t>
        </is>
      </c>
      <c r="G925" t="inlineStr">
        <is>
          <t>LJUNGBY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46266</v>
      </c>
      <c r="E926" s="1" t="n">
        <v>46312</v>
      </c>
      <c r="F926" t="inlineStr">
        <is>
          <t>KRONOBERGS LÄN</t>
        </is>
      </c>
      <c r="G926" t="inlineStr">
        <is>
          <t>LJUNGBY</t>
        </is>
      </c>
      <c r="H926" t="inlineStr">
        <is>
          <t>Kyrkan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26926-2025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45811</v>
      </c>
      <c r="E927" s="1" t="n">
        <v>46312</v>
      </c>
      <c r="F927" t="inlineStr">
        <is>
          <t>KRONOBERGS LÄN</t>
        </is>
      </c>
      <c r="G927" t="inlineStr">
        <is>
          <t>LJUNGBY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26928-2025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45811</v>
      </c>
      <c r="E928" s="1" t="n">
        <v>46312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26936-2025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45811</v>
      </c>
      <c r="E929" s="1" t="n">
        <v>46312</v>
      </c>
      <c r="F929" t="inlineStr">
        <is>
          <t>KRONOBERGS LÄN</t>
        </is>
      </c>
      <c r="G929" t="inlineStr">
        <is>
          <t>LJUNGBY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41642-2026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46301</v>
      </c>
      <c r="E930" s="1" t="n">
        <v>46312</v>
      </c>
      <c r="F930" t="inlineStr">
        <is>
          <t>KRONOBERGS LÄN</t>
        </is>
      </c>
      <c r="G930" t="inlineStr">
        <is>
          <t>LJUNGBY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35639-2026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46265</v>
      </c>
      <c r="E931" s="1" t="n">
        <v>46312</v>
      </c>
      <c r="F931" t="inlineStr">
        <is>
          <t>KRONOBERGS LÄN</t>
        </is>
      </c>
      <c r="G931" t="inlineStr">
        <is>
          <t>LJUNGBY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43002-2026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46310</v>
      </c>
      <c r="E932" s="1" t="n">
        <v>46312</v>
      </c>
      <c r="F932" t="inlineStr">
        <is>
          <t>KRONOBERGS LÄN</t>
        </is>
      </c>
      <c r="G932" t="inlineStr">
        <is>
          <t>LJUNGBY</t>
        </is>
      </c>
      <c r="I932" t="n">
        <v>7.9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11302-2024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45371</v>
      </c>
      <c r="E933" s="1" t="n">
        <v>46312</v>
      </c>
      <c r="F933" t="inlineStr">
        <is>
          <t>KRONOBERGS LÄN</t>
        </is>
      </c>
      <c r="G933" t="inlineStr">
        <is>
          <t>LJUNGBY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42907-2026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46310</v>
      </c>
      <c r="E934" s="1" t="n">
        <v>46312</v>
      </c>
      <c r="F934" t="inlineStr">
        <is>
          <t>KRONOBERGS LÄN</t>
        </is>
      </c>
      <c r="G934" t="inlineStr">
        <is>
          <t>LJUNGBY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43003-2026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46310</v>
      </c>
      <c r="E935" s="1" t="n">
        <v>46312</v>
      </c>
      <c r="F935" t="inlineStr">
        <is>
          <t>KRONOBERGS LÄN</t>
        </is>
      </c>
      <c r="G935" t="inlineStr">
        <is>
          <t>LJUNGBY</t>
        </is>
      </c>
      <c r="I935" t="n">
        <v>4.9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4437-2025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45686</v>
      </c>
      <c r="E936" s="1" t="n">
        <v>46312</v>
      </c>
      <c r="F936" t="inlineStr">
        <is>
          <t>KRONOBERGS LÄN</t>
        </is>
      </c>
      <c r="G936" t="inlineStr">
        <is>
          <t>LJUNGBY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45817</v>
      </c>
      <c r="E937" s="1" t="n">
        <v>46312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18403-2025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45762</v>
      </c>
      <c r="E938" s="1" t="n">
        <v>46312</v>
      </c>
      <c r="F938" t="inlineStr">
        <is>
          <t>KRONOBERGS LÄN</t>
        </is>
      </c>
      <c r="G938" t="inlineStr">
        <is>
          <t>LJUNGBY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33176-2024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45518</v>
      </c>
      <c r="E939" s="1" t="n">
        <v>46312</v>
      </c>
      <c r="F939" t="inlineStr">
        <is>
          <t>KRONOBERGS LÄN</t>
        </is>
      </c>
      <c r="G939" t="inlineStr">
        <is>
          <t>LJUNGBY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28334-2025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45818</v>
      </c>
      <c r="E940" s="1" t="n">
        <v>46312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54474-2024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46312</v>
      </c>
      <c r="F941" t="inlineStr">
        <is>
          <t>KRONOBERGS LÄN</t>
        </is>
      </c>
      <c r="G941" t="inlineStr">
        <is>
          <t>LJUNGBY</t>
        </is>
      </c>
      <c r="I941" t="n">
        <v>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43004-2026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46310</v>
      </c>
      <c r="E942" s="1" t="n">
        <v>46312</v>
      </c>
      <c r="F942" t="inlineStr">
        <is>
          <t>KRONOBERGS LÄN</t>
        </is>
      </c>
      <c r="G942" t="inlineStr">
        <is>
          <t>LJUNGBY</t>
        </is>
      </c>
      <c r="I942" t="n">
        <v>5.5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29785-2025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45825</v>
      </c>
      <c r="E943" s="1" t="n">
        <v>46312</v>
      </c>
      <c r="F943" t="inlineStr">
        <is>
          <t>KRONOBERGS LÄN</t>
        </is>
      </c>
      <c r="G943" t="inlineStr">
        <is>
          <t>LJUNGBY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29356-2025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45824</v>
      </c>
      <c r="E944" s="1" t="n">
        <v>46312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36252-2026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46268</v>
      </c>
      <c r="E945" s="1" t="n">
        <v>46312</v>
      </c>
      <c r="F945" t="inlineStr">
        <is>
          <t>KRONOBERGS LÄN</t>
        </is>
      </c>
      <c r="G945" t="inlineStr">
        <is>
          <t>LJUNGBY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23857-2025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45793</v>
      </c>
      <c r="E946" s="1" t="n">
        <v>46312</v>
      </c>
      <c r="F946" t="inlineStr">
        <is>
          <t>KRONOBERGS LÄN</t>
        </is>
      </c>
      <c r="G946" t="inlineStr">
        <is>
          <t>LJUNGBY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46312</v>
      </c>
      <c r="F947" t="inlineStr">
        <is>
          <t>KRONOBERGS LÄN</t>
        </is>
      </c>
      <c r="G947" t="inlineStr">
        <is>
          <t>LJUNGBY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42874-2026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46310</v>
      </c>
      <c r="E948" s="1" t="n">
        <v>46312</v>
      </c>
      <c r="F948" t="inlineStr">
        <is>
          <t>KRONOBERGS LÄN</t>
        </is>
      </c>
      <c r="G948" t="inlineStr">
        <is>
          <t>LJUNGBY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30538-2025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45831</v>
      </c>
      <c r="E949" s="1" t="n">
        <v>46312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30529-2025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45831</v>
      </c>
      <c r="E950" s="1" t="n">
        <v>46312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30549-2025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46312</v>
      </c>
      <c r="F951" t="inlineStr">
        <is>
          <t>KRONOBERGS LÄN</t>
        </is>
      </c>
      <c r="G951" t="inlineStr">
        <is>
          <t>LJUNGBY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30521-2025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45831</v>
      </c>
      <c r="E952" s="1" t="n">
        <v>46312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30857-2025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46312</v>
      </c>
      <c r="F953" t="inlineStr">
        <is>
          <t>KRONOBERGS LÄN</t>
        </is>
      </c>
      <c r="G953" t="inlineStr">
        <is>
          <t>LJUNGBY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46312</v>
      </c>
      <c r="F954" t="inlineStr">
        <is>
          <t>KRONOBERGS LÄN</t>
        </is>
      </c>
      <c r="G954" t="inlineStr">
        <is>
          <t>LJUNGBY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45833</v>
      </c>
      <c r="E955" s="1" t="n">
        <v>46312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45835</v>
      </c>
      <c r="E956" s="1" t="n">
        <v>46312</v>
      </c>
      <c r="F956" t="inlineStr">
        <is>
          <t>KRONOBERGS LÄN</t>
        </is>
      </c>
      <c r="G956" t="inlineStr">
        <is>
          <t>LJUNGBY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32011-2025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46312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32390-2025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45837</v>
      </c>
      <c r="E958" s="1" t="n">
        <v>46312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33151-2025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45840</v>
      </c>
      <c r="E959" s="1" t="n">
        <v>46312</v>
      </c>
      <c r="F959" t="inlineStr">
        <is>
          <t>KRONOBERGS LÄN</t>
        </is>
      </c>
      <c r="G959" t="inlineStr">
        <is>
          <t>LJUNGBY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33152-2025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45840</v>
      </c>
      <c r="E960" s="1" t="n">
        <v>46312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33811-2025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45842</v>
      </c>
      <c r="E961" s="1" t="n">
        <v>46312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11071-2025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45723</v>
      </c>
      <c r="E962" s="1" t="n">
        <v>46312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20365-2025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45775</v>
      </c>
      <c r="E963" s="1" t="n">
        <v>46312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12499-2025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45730</v>
      </c>
      <c r="E964" s="1" t="n">
        <v>46312</v>
      </c>
      <c r="F964" t="inlineStr">
        <is>
          <t>KRONOBERGS LÄN</t>
        </is>
      </c>
      <c r="G964" t="inlineStr">
        <is>
          <t>LJUNGBY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34742-2025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45848</v>
      </c>
      <c r="E965" s="1" t="n">
        <v>46312</v>
      </c>
      <c r="F965" t="inlineStr">
        <is>
          <t>KRONOBERGS LÄN</t>
        </is>
      </c>
      <c r="G965" t="inlineStr">
        <is>
          <t>LJUNGBY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46312</v>
      </c>
      <c r="F966" t="inlineStr">
        <is>
          <t>KRONOBERGS LÄN</t>
        </is>
      </c>
      <c r="G966" t="inlineStr">
        <is>
          <t>LJUNGBY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26979-2025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46312</v>
      </c>
      <c r="F967" t="inlineStr">
        <is>
          <t>KRONOBERGS LÄN</t>
        </is>
      </c>
      <c r="G967" t="inlineStr">
        <is>
          <t>LJUNGBY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35038-2025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45852</v>
      </c>
      <c r="E968" s="1" t="n">
        <v>46312</v>
      </c>
      <c r="F968" t="inlineStr">
        <is>
          <t>KRONOBERGS LÄN</t>
        </is>
      </c>
      <c r="G968" t="inlineStr">
        <is>
          <t>LJUNGBY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45667</v>
      </c>
      <c r="E969" s="1" t="n">
        <v>46312</v>
      </c>
      <c r="F969" t="inlineStr">
        <is>
          <t>KRONOBERGS LÄN</t>
        </is>
      </c>
      <c r="G969" t="inlineStr">
        <is>
          <t>LJUNGBY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30018-2023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45109</v>
      </c>
      <c r="E970" s="1" t="n">
        <v>46312</v>
      </c>
      <c r="F970" t="inlineStr">
        <is>
          <t>KRONOBERGS LÄN</t>
        </is>
      </c>
      <c r="G970" t="inlineStr">
        <is>
          <t>LJUNGBY</t>
        </is>
      </c>
      <c r="I970" t="n">
        <v>13.6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35317-2024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45530</v>
      </c>
      <c r="E971" s="1" t="n">
        <v>46312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27019-2025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45811</v>
      </c>
      <c r="E972" s="1" t="n">
        <v>46312</v>
      </c>
      <c r="F972" t="inlineStr">
        <is>
          <t>KRONOBERGS LÄN</t>
        </is>
      </c>
      <c r="G972" t="inlineStr">
        <is>
          <t>LJUNGBY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35790-2025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45860</v>
      </c>
      <c r="E973" s="1" t="n">
        <v>46312</v>
      </c>
      <c r="F973" t="inlineStr">
        <is>
          <t>KRONOBERGS LÄN</t>
        </is>
      </c>
      <c r="G973" t="inlineStr">
        <is>
          <t>LJUNGBY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63432-2023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45274</v>
      </c>
      <c r="E974" s="1" t="n">
        <v>46312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14608-2024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45396</v>
      </c>
      <c r="E975" s="1" t="n">
        <v>46312</v>
      </c>
      <c r="F975" t="inlineStr">
        <is>
          <t>KRONOBERGS LÄN</t>
        </is>
      </c>
      <c r="G975" t="inlineStr">
        <is>
          <t>LJUNGBY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45145</v>
      </c>
      <c r="E976" s="1" t="n">
        <v>46312</v>
      </c>
      <c r="F976" t="inlineStr">
        <is>
          <t>KRONOBERGS LÄN</t>
        </is>
      </c>
      <c r="G976" t="inlineStr">
        <is>
          <t>LJUNGBY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54177-2022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44881</v>
      </c>
      <c r="E977" s="1" t="n">
        <v>46312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36515-2025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45869</v>
      </c>
      <c r="E978" s="1" t="n">
        <v>46312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45701</v>
      </c>
      <c r="E979" s="1" t="n">
        <v>46312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34475-2025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45847</v>
      </c>
      <c r="E980" s="1" t="n">
        <v>46312</v>
      </c>
      <c r="F980" t="inlineStr">
        <is>
          <t>KRONOBERGS LÄN</t>
        </is>
      </c>
      <c r="G980" t="inlineStr">
        <is>
          <t>LJUNGBY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13998-2025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45739</v>
      </c>
      <c r="E981" s="1" t="n">
        <v>46312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45783</v>
      </c>
      <c r="E982" s="1" t="n">
        <v>46312</v>
      </c>
      <c r="F982" t="inlineStr">
        <is>
          <t>KRONOBERGS LÄN</t>
        </is>
      </c>
      <c r="G982" t="inlineStr">
        <is>
          <t>LJUNGBY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13388-2023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45005</v>
      </c>
      <c r="E983" s="1" t="n">
        <v>46312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61893-2022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46312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7004-2025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46312</v>
      </c>
      <c r="F985" t="inlineStr">
        <is>
          <t>KRONOBERGS LÄN</t>
        </is>
      </c>
      <c r="G985" t="inlineStr">
        <is>
          <t>LJUNGBY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18567-2024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45425</v>
      </c>
      <c r="E986" s="1" t="n">
        <v>46312</v>
      </c>
      <c r="F986" t="inlineStr">
        <is>
          <t>KRONOBERGS LÄN</t>
        </is>
      </c>
      <c r="G986" t="inlineStr">
        <is>
          <t>LJUNGBY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28350-2023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46312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10085-2022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44621</v>
      </c>
      <c r="E988" s="1" t="n">
        <v>46312</v>
      </c>
      <c r="F988" t="inlineStr">
        <is>
          <t>KRONOBERGS LÄN</t>
        </is>
      </c>
      <c r="G988" t="inlineStr">
        <is>
          <t>LJUNGBY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25152-2023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45079</v>
      </c>
      <c r="E989" s="1" t="n">
        <v>46312</v>
      </c>
      <c r="F989" t="inlineStr">
        <is>
          <t>KRONOBERGS LÄN</t>
        </is>
      </c>
      <c r="G989" t="inlineStr">
        <is>
          <t>LJUNGBY</t>
        </is>
      </c>
      <c r="I989" t="n">
        <v>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70888-2021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44538</v>
      </c>
      <c r="E990" s="1" t="n">
        <v>46312</v>
      </c>
      <c r="F990" t="inlineStr">
        <is>
          <t>KRONOBERGS LÄN</t>
        </is>
      </c>
      <c r="G990" t="inlineStr">
        <is>
          <t>LJUNGBY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14561-2024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45394</v>
      </c>
      <c r="E991" s="1" t="n">
        <v>46312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46312</v>
      </c>
      <c r="F992" t="inlineStr">
        <is>
          <t>KRONOBERGS LÄN</t>
        </is>
      </c>
      <c r="G992" t="inlineStr">
        <is>
          <t>LJUNGBY</t>
        </is>
      </c>
      <c r="H992" t="inlineStr">
        <is>
          <t>Kyrkan</t>
        </is>
      </c>
      <c r="I992" t="n">
        <v>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62717-2023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45271</v>
      </c>
      <c r="E993" s="1" t="n">
        <v>46312</v>
      </c>
      <c r="F993" t="inlineStr">
        <is>
          <t>KRONOBERGS LÄN</t>
        </is>
      </c>
      <c r="G993" t="inlineStr">
        <is>
          <t>LJUNGBY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46150-2022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44847</v>
      </c>
      <c r="E994" s="1" t="n">
        <v>46312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16128-2023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45026</v>
      </c>
      <c r="E995" s="1" t="n">
        <v>46312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1064-2024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45301</v>
      </c>
      <c r="E996" s="1" t="n">
        <v>46312</v>
      </c>
      <c r="F996" t="inlineStr">
        <is>
          <t>KRONOBERGS LÄN</t>
        </is>
      </c>
      <c r="G996" t="inlineStr">
        <is>
          <t>LJUNGBY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61666-2024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45647</v>
      </c>
      <c r="E997" s="1" t="n">
        <v>46312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54182-2022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44881</v>
      </c>
      <c r="E998" s="1" t="n">
        <v>46312</v>
      </c>
      <c r="F998" t="inlineStr">
        <is>
          <t>KRONOBERGS LÄN</t>
        </is>
      </c>
      <c r="G998" t="inlineStr">
        <is>
          <t>LJUNGBY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49552-2023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45211</v>
      </c>
      <c r="E999" s="1" t="n">
        <v>46312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57875-2023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45247</v>
      </c>
      <c r="E1000" s="1" t="n">
        <v>46312</v>
      </c>
      <c r="F1000" t="inlineStr">
        <is>
          <t>KRONOBERGS LÄN</t>
        </is>
      </c>
      <c r="G1000" t="inlineStr">
        <is>
          <t>LJUNGBY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35167-2023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45145</v>
      </c>
      <c r="E1001" s="1" t="n">
        <v>46312</v>
      </c>
      <c r="F1001" t="inlineStr">
        <is>
          <t>KRONOBERGS LÄN</t>
        </is>
      </c>
      <c r="G1001" t="inlineStr">
        <is>
          <t>LJUNGBY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14402-2024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45394</v>
      </c>
      <c r="E1002" s="1" t="n">
        <v>46312</v>
      </c>
      <c r="F1002" t="inlineStr">
        <is>
          <t>KRONOBERGS LÄN</t>
        </is>
      </c>
      <c r="G1002" t="inlineStr">
        <is>
          <t>LJUNGBY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22800-2022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44715</v>
      </c>
      <c r="E1003" s="1" t="n">
        <v>46312</v>
      </c>
      <c r="F1003" t="inlineStr">
        <is>
          <t>KRONOBERGS LÄN</t>
        </is>
      </c>
      <c r="G1003" t="inlineStr">
        <is>
          <t>LJUNGBY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46312</v>
      </c>
      <c r="F1004" t="inlineStr">
        <is>
          <t>KRONOBERGS LÄN</t>
        </is>
      </c>
      <c r="G1004" t="inlineStr">
        <is>
          <t>LJUNGBY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28991-2024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45481</v>
      </c>
      <c r="E1005" s="1" t="n">
        <v>46312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65062-2021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44515</v>
      </c>
      <c r="E1006" s="1" t="n">
        <v>46312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65066-2021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44515</v>
      </c>
      <c r="E1007" s="1" t="n">
        <v>46312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30561-2025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45831</v>
      </c>
      <c r="E1008" s="1" t="n">
        <v>46312</v>
      </c>
      <c r="F1008" t="inlineStr">
        <is>
          <t>KRONOBERGS LÄN</t>
        </is>
      </c>
      <c r="G1008" t="inlineStr">
        <is>
          <t>LJUNGBY</t>
        </is>
      </c>
      <c r="I1008" t="n">
        <v>7.1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51058-2023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45211</v>
      </c>
      <c r="E1009" s="1" t="n">
        <v>46312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45750</v>
      </c>
      <c r="E1010" s="1" t="n">
        <v>46312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36460-2025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45869</v>
      </c>
      <c r="E1011" s="1" t="n">
        <v>46312</v>
      </c>
      <c r="F1011" t="inlineStr">
        <is>
          <t>KRONOBERGS LÄN</t>
        </is>
      </c>
      <c r="G1011" t="inlineStr">
        <is>
          <t>LJUNGBY</t>
        </is>
      </c>
      <c r="H1011" t="inlineStr">
        <is>
          <t>Kyrkan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29408-2025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45824</v>
      </c>
      <c r="E1012" s="1" t="n">
        <v>46312</v>
      </c>
      <c r="F1012" t="inlineStr">
        <is>
          <t>KRONOBERGS LÄN</t>
        </is>
      </c>
      <c r="G1012" t="inlineStr">
        <is>
          <t>LJUNGBY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45301</v>
      </c>
      <c r="E1013" s="1" t="n">
        <v>46312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49179-2022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44860</v>
      </c>
      <c r="E1014" s="1" t="n">
        <v>46312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2648-2025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45676</v>
      </c>
      <c r="E1015" s="1" t="n">
        <v>46312</v>
      </c>
      <c r="F1015" t="inlineStr">
        <is>
          <t>KRONOBERGS LÄN</t>
        </is>
      </c>
      <c r="G1015" t="inlineStr">
        <is>
          <t>LJUNGBY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37087-2025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45875</v>
      </c>
      <c r="E1016" s="1" t="n">
        <v>46312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37187-2025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45875</v>
      </c>
      <c r="E1017" s="1" t="n">
        <v>46312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37793-2025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45881</v>
      </c>
      <c r="E1018" s="1" t="n">
        <v>46312</v>
      </c>
      <c r="F1018" t="inlineStr">
        <is>
          <t>KRONOBERGS LÄN</t>
        </is>
      </c>
      <c r="G1018" t="inlineStr">
        <is>
          <t>LJUNGBY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37688-2025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45880</v>
      </c>
      <c r="E1019" s="1" t="n">
        <v>46312</v>
      </c>
      <c r="F1019" t="inlineStr">
        <is>
          <t>KRONOBERGS LÄN</t>
        </is>
      </c>
      <c r="G1019" t="inlineStr">
        <is>
          <t>LJUNGBY</t>
        </is>
      </c>
      <c r="I1019" t="n">
        <v>8.800000000000001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37779-2025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45880</v>
      </c>
      <c r="E1020" s="1" t="n">
        <v>46312</v>
      </c>
      <c r="F1020" t="inlineStr">
        <is>
          <t>KRONOBERGS LÄN</t>
        </is>
      </c>
      <c r="G1020" t="inlineStr">
        <is>
          <t>LJUNGBY</t>
        </is>
      </c>
      <c r="I1020" t="n">
        <v>9.5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37805-2025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45881</v>
      </c>
      <c r="E1021" s="1" t="n">
        <v>46312</v>
      </c>
      <c r="F1021" t="inlineStr">
        <is>
          <t>KRONOBERGS LÄN</t>
        </is>
      </c>
      <c r="G1021" t="inlineStr">
        <is>
          <t>LJUNGBY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2372-2023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45110</v>
      </c>
      <c r="E1022" s="1" t="n">
        <v>46312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5211-2022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44820</v>
      </c>
      <c r="E1023" s="1" t="n">
        <v>46312</v>
      </c>
      <c r="F1023" t="inlineStr">
        <is>
          <t>KRONOBERGS LÄN</t>
        </is>
      </c>
      <c r="G1023" t="inlineStr">
        <is>
          <t>LJUNGBY</t>
        </is>
      </c>
      <c r="I1023" t="n">
        <v>13.4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3418-2024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45537</v>
      </c>
      <c r="E1024" s="1" t="n">
        <v>46312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3836-2023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45226</v>
      </c>
      <c r="E1025" s="1" t="n">
        <v>46312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3278-2024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45527</v>
      </c>
      <c r="E1026" s="1" t="n">
        <v>46312</v>
      </c>
      <c r="F1026" t="inlineStr">
        <is>
          <t>KRONOBERGS LÄN</t>
        </is>
      </c>
      <c r="G1026" t="inlineStr">
        <is>
          <t>LJUNGBY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4450-2024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45593</v>
      </c>
      <c r="E1027" s="1" t="n">
        <v>46312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1523-2022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44638</v>
      </c>
      <c r="E1028" s="1" t="n">
        <v>46312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928-2023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45000</v>
      </c>
      <c r="E1029" s="1" t="n">
        <v>46312</v>
      </c>
      <c r="F1029" t="inlineStr">
        <is>
          <t>KRONOBERGS LÄN</t>
        </is>
      </c>
      <c r="G1029" t="inlineStr">
        <is>
          <t>LJUNGBY</t>
        </is>
      </c>
      <c r="I1029" t="n">
        <v>8.800000000000001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1600-2022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44644</v>
      </c>
      <c r="E1030" s="1" t="n">
        <v>46312</v>
      </c>
      <c r="F1030" t="inlineStr">
        <is>
          <t>KRONOBERGS LÄN</t>
        </is>
      </c>
      <c r="G1030" t="inlineStr">
        <is>
          <t>LJUNGBY</t>
        </is>
      </c>
      <c r="I1030" t="n">
        <v>49.2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46312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1556-2022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46312</v>
      </c>
      <c r="F1032" t="inlineStr">
        <is>
          <t>KRONOBERGS LÄN</t>
        </is>
      </c>
      <c r="G1032" t="inlineStr">
        <is>
          <t>LJUNGBY</t>
        </is>
      </c>
      <c r="I1032" t="n">
        <v>17.6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1395-2024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45412</v>
      </c>
      <c r="E1033" s="1" t="n">
        <v>46312</v>
      </c>
      <c r="F1033" t="inlineStr">
        <is>
          <t>KRONOBERGS LÄN</t>
        </is>
      </c>
      <c r="G1033" t="inlineStr">
        <is>
          <t>LJUNGBY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4474-2023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45272</v>
      </c>
      <c r="E1034" s="1" t="n">
        <v>46312</v>
      </c>
      <c r="F1034" t="inlineStr">
        <is>
          <t>KRONOBERGS LÄN</t>
        </is>
      </c>
      <c r="G1034" t="inlineStr">
        <is>
          <t>LJUNGBY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2871-2023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45168</v>
      </c>
      <c r="E1035" s="1" t="n">
        <v>46312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943-2024</t>
        </is>
      </c>
      <c r="B1036" t="inlineStr">
        <is>
          <t>samrådsanmälan</t>
        </is>
      </c>
      <c r="C1036" t="inlineStr">
        <is>
          <t>Skogsgödsling</t>
        </is>
      </c>
      <c r="D1036" s="1" t="n">
        <v>45378</v>
      </c>
      <c r="E1036" s="1" t="n">
        <v>46312</v>
      </c>
      <c r="F1036" t="inlineStr">
        <is>
          <t>KRONOBERGS LÄN</t>
        </is>
      </c>
      <c r="G1036" t="inlineStr">
        <is>
          <t>LJUNGBY</t>
        </is>
      </c>
      <c r="I1036" t="n">
        <v>24.5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1583-2022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46312</v>
      </c>
      <c r="F1037" t="inlineStr">
        <is>
          <t>KRONOBERGS LÄN</t>
        </is>
      </c>
      <c r="G1037" t="inlineStr">
        <is>
          <t>LJUNGBY</t>
        </is>
      </c>
      <c r="I1037" t="n">
        <v>11.4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1772-2022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44655</v>
      </c>
      <c r="E1038" s="1" t="n">
        <v>46312</v>
      </c>
      <c r="F1038" t="inlineStr">
        <is>
          <t>KRONOBERGS LÄN</t>
        </is>
      </c>
      <c r="G1038" t="inlineStr">
        <is>
          <t>LJUNGBY</t>
        </is>
      </c>
      <c r="I1038" t="n">
        <v>28.9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3725-2024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45554</v>
      </c>
      <c r="E1039" s="1" t="n">
        <v>46312</v>
      </c>
      <c r="F1039" t="inlineStr">
        <is>
          <t>KRONOBERGS LÄN</t>
        </is>
      </c>
      <c r="G1039" t="inlineStr">
        <is>
          <t>LJUNGBY</t>
        </is>
      </c>
      <c r="I1039" t="n">
        <v>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4103-2024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45574</v>
      </c>
      <c r="E1040" s="1" t="n">
        <v>46312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4818-2024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45615</v>
      </c>
      <c r="E1041" s="1" t="n">
        <v>46312</v>
      </c>
      <c r="F1041" t="inlineStr">
        <is>
          <t>KRONOBERGS LÄN</t>
        </is>
      </c>
      <c r="G1041" t="inlineStr">
        <is>
          <t>LJUNGBY</t>
        </is>
      </c>
      <c r="I1041" t="n">
        <v>58.1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3272-2024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45526</v>
      </c>
      <c r="E1042" s="1" t="n">
        <v>46312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4543-2024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45597</v>
      </c>
      <c r="E1043" s="1" t="n">
        <v>46312</v>
      </c>
      <c r="F1043" t="inlineStr">
        <is>
          <t>KRONOBERGS LÄN</t>
        </is>
      </c>
      <c r="G1043" t="inlineStr">
        <is>
          <t>LJUNGBY</t>
        </is>
      </c>
      <c r="I1043" t="n">
        <v>16.8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1299-2023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45033</v>
      </c>
      <c r="E1044" s="1" t="n">
        <v>46312</v>
      </c>
      <c r="F1044" t="inlineStr">
        <is>
          <t>KRONOBERGS LÄN</t>
        </is>
      </c>
      <c r="G1044" t="inlineStr">
        <is>
          <t>LJUNGBY</t>
        </is>
      </c>
      <c r="I1044" t="n">
        <v>14.7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3711-2024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45553</v>
      </c>
      <c r="E1045" s="1" t="n">
        <v>46312</v>
      </c>
      <c r="F1045" t="inlineStr">
        <is>
          <t>KRONOBERGS LÄN</t>
        </is>
      </c>
      <c r="G1045" t="inlineStr">
        <is>
          <t>LJUNGBY</t>
        </is>
      </c>
      <c r="I1045" t="n">
        <v>4.3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671-2024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45357</v>
      </c>
      <c r="E1046" s="1" t="n">
        <v>46312</v>
      </c>
      <c r="F1046" t="inlineStr">
        <is>
          <t>KRONOBERGS LÄN</t>
        </is>
      </c>
      <c r="G1046" t="inlineStr">
        <is>
          <t>LJUNGBY</t>
        </is>
      </c>
      <c r="I1046" t="n">
        <v>22.9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1587-2024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45427</v>
      </c>
      <c r="E1047" s="1" t="n">
        <v>46312</v>
      </c>
      <c r="F1047" t="inlineStr">
        <is>
          <t>KRONOBERGS LÄN</t>
        </is>
      </c>
      <c r="G1047" t="inlineStr">
        <is>
          <t>LJUNGBY</t>
        </is>
      </c>
      <c r="I1047" t="n">
        <v>12.3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1544-2022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44642</v>
      </c>
      <c r="E1048" s="1" t="n">
        <v>46312</v>
      </c>
      <c r="F1048" t="inlineStr">
        <is>
          <t>KRONOBERGS LÄN</t>
        </is>
      </c>
      <c r="G1048" t="inlineStr">
        <is>
          <t>LJUNGBY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2002-2024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45447</v>
      </c>
      <c r="E1049" s="1" t="n">
        <v>46312</v>
      </c>
      <c r="F1049" t="inlineStr">
        <is>
          <t>KRONOBERGS LÄN</t>
        </is>
      </c>
      <c r="G1049" t="inlineStr">
        <is>
          <t>LJUNGBY</t>
        </is>
      </c>
      <c r="I1049" t="n">
        <v>14.8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46-2024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45294</v>
      </c>
      <c r="E1050" s="1" t="n">
        <v>46312</v>
      </c>
      <c r="F1050" t="inlineStr">
        <is>
          <t>KRONOBERGS LÄN</t>
        </is>
      </c>
      <c r="G1050" t="inlineStr">
        <is>
          <t>LJUNGBY</t>
        </is>
      </c>
      <c r="I1050" t="n">
        <v>50.3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927-2023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45000</v>
      </c>
      <c r="E1051" s="1" t="n">
        <v>46312</v>
      </c>
      <c r="F1051" t="inlineStr">
        <is>
          <t>KRONOBERGS LÄN</t>
        </is>
      </c>
      <c r="G1051" t="inlineStr">
        <is>
          <t>LJUNGBY</t>
        </is>
      </c>
      <c r="I1051" t="n">
        <v>19.5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2870-2023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45168</v>
      </c>
      <c r="E1052" s="1" t="n">
        <v>46312</v>
      </c>
      <c r="F1052" t="inlineStr">
        <is>
          <t>KRONOBERGS LÄN</t>
        </is>
      </c>
      <c r="G1052" t="inlineStr">
        <is>
          <t>LJUNGBY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1441-2023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45044</v>
      </c>
      <c r="E1053" s="1" t="n">
        <v>46312</v>
      </c>
      <c r="F1053" t="inlineStr">
        <is>
          <t>KRONOBERGS LÄN</t>
        </is>
      </c>
      <c r="G1053" t="inlineStr">
        <is>
          <t>LJUNGBY</t>
        </is>
      </c>
      <c r="I1053" t="n">
        <v>26.9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4438-2023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45267</v>
      </c>
      <c r="E1054" s="1" t="n">
        <v>46312</v>
      </c>
      <c r="F1054" t="inlineStr">
        <is>
          <t>KRONOBERGS LÄN</t>
        </is>
      </c>
      <c r="G1054" t="inlineStr">
        <is>
          <t>LJUNGBY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1908-2024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45442</v>
      </c>
      <c r="E1055" s="1" t="n">
        <v>46312</v>
      </c>
      <c r="F1055" t="inlineStr">
        <is>
          <t>KRONOBERGS LÄN</t>
        </is>
      </c>
      <c r="G1055" t="inlineStr">
        <is>
          <t>LJUNGBY</t>
        </is>
      </c>
      <c r="I1055" t="n">
        <v>19.4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340-2023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44960</v>
      </c>
      <c r="E1056" s="1" t="n">
        <v>46312</v>
      </c>
      <c r="F1056" t="inlineStr">
        <is>
          <t>KRONOBERGS LÄN</t>
        </is>
      </c>
      <c r="G1056" t="inlineStr">
        <is>
          <t>LJUNGBY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563-2023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44973</v>
      </c>
      <c r="E1057" s="1" t="n">
        <v>46312</v>
      </c>
      <c r="F1057" t="inlineStr">
        <is>
          <t>KRONOBERGS LÄN</t>
        </is>
      </c>
      <c r="G1057" t="inlineStr">
        <is>
          <t>LJUNGBY</t>
        </is>
      </c>
      <c r="I1057" t="n">
        <v>0.1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3849-2024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45560</v>
      </c>
      <c r="E1058" s="1" t="n">
        <v>46312</v>
      </c>
      <c r="F1058" t="inlineStr">
        <is>
          <t>KRONOBERGS LÄN</t>
        </is>
      </c>
      <c r="G1058" t="inlineStr">
        <is>
          <t>LJUNGBY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670-2024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46312</v>
      </c>
      <c r="F1059" t="inlineStr">
        <is>
          <t>KRONOBERGS LÄN</t>
        </is>
      </c>
      <c r="G1059" t="inlineStr">
        <is>
          <t>LJUNGBY</t>
        </is>
      </c>
      <c r="I1059" t="n">
        <v>38.8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6542-2022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44882</v>
      </c>
      <c r="E1060" s="1" t="n">
        <v>46312</v>
      </c>
      <c r="F1060" t="inlineStr">
        <is>
          <t>KRONOBERGS LÄN</t>
        </is>
      </c>
      <c r="G1060" t="inlineStr">
        <is>
          <t>LJUNGBY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2373-2023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45110</v>
      </c>
      <c r="E1061" s="1" t="n">
        <v>46312</v>
      </c>
      <c r="F1061" t="inlineStr">
        <is>
          <t>KRONOBERGS LÄN</t>
        </is>
      </c>
      <c r="G1061" t="inlineStr">
        <is>
          <t>LJUNGBY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1132-2025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45755</v>
      </c>
      <c r="E1062" s="1" t="n">
        <v>46312</v>
      </c>
      <c r="F1062" t="inlineStr">
        <is>
          <t>KRONOBERGS LÄN</t>
        </is>
      </c>
      <c r="G1062" t="inlineStr">
        <is>
          <t>LJUNGBY</t>
        </is>
      </c>
      <c r="I1062" t="n">
        <v>29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5044-2024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45637</v>
      </c>
      <c r="E1063" s="1" t="n">
        <v>46312</v>
      </c>
      <c r="F1063" t="inlineStr">
        <is>
          <t>KRONOBERGS LÄN</t>
        </is>
      </c>
      <c r="G1063" t="inlineStr">
        <is>
          <t>LJUNGBY</t>
        </is>
      </c>
      <c r="I1063" t="n">
        <v>25.9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5130-2024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45645</v>
      </c>
      <c r="E1064" s="1" t="n">
        <v>46312</v>
      </c>
      <c r="F1064" t="inlineStr">
        <is>
          <t>KRONOBERGS LÄN</t>
        </is>
      </c>
      <c r="G1064" t="inlineStr">
        <is>
          <t>LJUNGBY</t>
        </is>
      </c>
      <c r="I1064" t="n">
        <v>24.1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597-2025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45713</v>
      </c>
      <c r="E1065" s="1" t="n">
        <v>46312</v>
      </c>
      <c r="F1065" t="inlineStr">
        <is>
          <t>KRONOBERGS LÄN</t>
        </is>
      </c>
      <c r="G1065" t="inlineStr">
        <is>
          <t>LJUNGBY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962-2025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45742</v>
      </c>
      <c r="E1066" s="1" t="n">
        <v>46312</v>
      </c>
      <c r="F1066" t="inlineStr">
        <is>
          <t>KRONOBERGS LÄN</t>
        </is>
      </c>
      <c r="G1066" t="inlineStr">
        <is>
          <t>LJUNGBY</t>
        </is>
      </c>
      <c r="I1066" t="n">
        <v>18.8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712-2025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45720</v>
      </c>
      <c r="E1067" s="1" t="n">
        <v>46312</v>
      </c>
      <c r="F1067" t="inlineStr">
        <is>
          <t>KRONOBERGS LÄN</t>
        </is>
      </c>
      <c r="G1067" t="inlineStr">
        <is>
          <t>LJUNGBY</t>
        </is>
      </c>
      <c r="I1067" t="n">
        <v>15.1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5018-2024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45632</v>
      </c>
      <c r="E1068" s="1" t="n">
        <v>46312</v>
      </c>
      <c r="F1068" t="inlineStr">
        <is>
          <t>KRONOBERGS LÄN</t>
        </is>
      </c>
      <c r="G1068" t="inlineStr">
        <is>
          <t>LJUNGBY</t>
        </is>
      </c>
      <c r="I1068" t="n">
        <v>13.7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4999-2024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45631</v>
      </c>
      <c r="E1069" s="1" t="n">
        <v>46312</v>
      </c>
      <c r="F1069" t="inlineStr">
        <is>
          <t>KRONOBERGS LÄN</t>
        </is>
      </c>
      <c r="G1069" t="inlineStr">
        <is>
          <t>LJUNGBY</t>
        </is>
      </c>
      <c r="I1069" t="n">
        <v>11.6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604-2025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45713</v>
      </c>
      <c r="E1070" s="1" t="n">
        <v>46312</v>
      </c>
      <c r="F1070" t="inlineStr">
        <is>
          <t>KRONOBERGS LÄN</t>
        </is>
      </c>
      <c r="G1070" t="inlineStr">
        <is>
          <t>LJUNGBY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1495-2025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45789</v>
      </c>
      <c r="E1071" s="1" t="n">
        <v>46312</v>
      </c>
      <c r="F1071" t="inlineStr">
        <is>
          <t>KRONOBERGS LÄN</t>
        </is>
      </c>
      <c r="G1071" t="inlineStr">
        <is>
          <t>LJUNGBY</t>
        </is>
      </c>
      <c r="I1071" t="n">
        <v>25.7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1813-2025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45818</v>
      </c>
      <c r="E1072" s="1" t="n">
        <v>46312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46312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1954-2025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45831</v>
      </c>
      <c r="E1074" s="1" t="n">
        <v>46312</v>
      </c>
      <c r="F1074" t="inlineStr">
        <is>
          <t>KRONOBERGS LÄN</t>
        </is>
      </c>
      <c r="G1074" t="inlineStr">
        <is>
          <t>LJUNGBY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46312</v>
      </c>
      <c r="F1075" t="inlineStr">
        <is>
          <t>KRONOBERGS LÄN</t>
        </is>
      </c>
      <c r="G1075" t="inlineStr">
        <is>
          <t>LJUNGBY</t>
        </is>
      </c>
      <c r="I1075" t="n">
        <v>45.2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2401-2025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45895</v>
      </c>
      <c r="E1076" s="1" t="n">
        <v>46312</v>
      </c>
      <c r="F1076" t="inlineStr">
        <is>
          <t>KRONOBERGS LÄN</t>
        </is>
      </c>
      <c r="G1076" t="inlineStr">
        <is>
          <t>LJUNGBY</t>
        </is>
      </c>
      <c r="I1076" t="n">
        <v>26.2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2394-2025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45894</v>
      </c>
      <c r="E1077" s="1" t="n">
        <v>46312</v>
      </c>
      <c r="F1077" t="inlineStr">
        <is>
          <t>KRONOBERGS LÄN</t>
        </is>
      </c>
      <c r="G1077" t="inlineStr">
        <is>
          <t>LJUNGBY</t>
        </is>
      </c>
      <c r="I1077" t="n">
        <v>7.6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46312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16-2026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46024</v>
      </c>
      <c r="E1079" s="1" t="n">
        <v>46312</v>
      </c>
      <c r="F1079" t="inlineStr">
        <is>
          <t>KRONOBERGS LÄN</t>
        </is>
      </c>
      <c r="G1079" t="inlineStr">
        <is>
          <t>LJUNGBY</t>
        </is>
      </c>
      <c r="I1079" t="n">
        <v>13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46024</v>
      </c>
      <c r="E1080" s="1" t="n">
        <v>46312</v>
      </c>
      <c r="F1080" t="inlineStr">
        <is>
          <t>KRONOBERGS LÄN</t>
        </is>
      </c>
      <c r="G1080" t="inlineStr">
        <is>
          <t>LJUNGBY</t>
        </is>
      </c>
      <c r="I1080" t="n">
        <v>15.7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46029</v>
      </c>
      <c r="E1081" s="1" t="n">
        <v>46312</v>
      </c>
      <c r="F1081" t="inlineStr">
        <is>
          <t>KRONOBERGS LÄN</t>
        </is>
      </c>
      <c r="G1081" t="inlineStr">
        <is>
          <t>LJUNGBY</t>
        </is>
      </c>
      <c r="H1081" t="inlineStr">
        <is>
          <t>Sveaskog</t>
        </is>
      </c>
      <c r="I1081" t="n">
        <v>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46063</v>
      </c>
      <c r="E1082" s="1" t="n">
        <v>46312</v>
      </c>
      <c r="F1082" t="inlineStr">
        <is>
          <t>KRONOBERGS LÄN</t>
        </is>
      </c>
      <c r="G1082" t="inlineStr">
        <is>
          <t>LJUNGBY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330-2026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46062</v>
      </c>
      <c r="E1083" s="1" t="n">
        <v>46312</v>
      </c>
      <c r="F1083" t="inlineStr">
        <is>
          <t>KRONOBERGS LÄN</t>
        </is>
      </c>
      <c r="G1083" t="inlineStr">
        <is>
          <t>LJUNGBY</t>
        </is>
      </c>
      <c r="I1083" t="n">
        <v>27.9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366-2026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46064</v>
      </c>
      <c r="E1084" s="1" t="n">
        <v>46312</v>
      </c>
      <c r="F1084" t="inlineStr">
        <is>
          <t>KRONOBERGS LÄN</t>
        </is>
      </c>
      <c r="G1084" t="inlineStr">
        <is>
          <t>LJUNGBY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1350-2026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46312</v>
      </c>
      <c r="F1085" t="inlineStr">
        <is>
          <t>KRONOBERGS LÄN</t>
        </is>
      </c>
      <c r="G1085" t="inlineStr">
        <is>
          <t>LJUNGBY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1348-2026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46150</v>
      </c>
      <c r="E1086" s="1" t="n">
        <v>46312</v>
      </c>
      <c r="F1086" t="inlineStr">
        <is>
          <t>KRONOBERGS LÄN</t>
        </is>
      </c>
      <c r="G1086" t="inlineStr">
        <is>
          <t>LJUNGBY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1425-2026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46156</v>
      </c>
      <c r="E1087" s="1" t="n">
        <v>46312</v>
      </c>
      <c r="F1087" t="inlineStr">
        <is>
          <t>KRONOBERGS LÄN</t>
        </is>
      </c>
      <c r="G1087" t="inlineStr">
        <is>
          <t>LJUNGBY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46312</v>
      </c>
      <c r="F1088" t="inlineStr">
        <is>
          <t>KRONOBERGS LÄN</t>
        </is>
      </c>
      <c r="G1088" t="inlineStr">
        <is>
          <t>LJUNGBY</t>
        </is>
      </c>
      <c r="I1088" t="n">
        <v>45.4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1459-2026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46161</v>
      </c>
      <c r="E1089" s="1" t="n">
        <v>46312</v>
      </c>
      <c r="F1089" t="inlineStr">
        <is>
          <t>KRONOBERGS LÄN</t>
        </is>
      </c>
      <c r="G1089" t="inlineStr">
        <is>
          <t>LJUNGBY</t>
        </is>
      </c>
      <c r="I1089" t="n">
        <v>20.3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2003-2026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46209</v>
      </c>
      <c r="E1090" s="1" t="n">
        <v>46312</v>
      </c>
      <c r="F1090" t="inlineStr">
        <is>
          <t>KRONOBERGS LÄN</t>
        </is>
      </c>
      <c r="G1090" t="inlineStr">
        <is>
          <t>LJUNGBY</t>
        </is>
      </c>
      <c r="H1090" t="inlineStr">
        <is>
          <t>Kommuner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2411-2026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46312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2408-2026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46312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>
      <c r="A1093" t="inlineStr">
        <is>
          <t>S 2286-2026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46266</v>
      </c>
      <c r="E1093" s="1" t="n">
        <v>46312</v>
      </c>
      <c r="F1093" t="inlineStr">
        <is>
          <t>KRONOBERGS LÄN</t>
        </is>
      </c>
      <c r="G1093" t="inlineStr">
        <is>
          <t>LJUNGBY</t>
        </is>
      </c>
      <c r="I1093" t="n">
        <v>13.4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2026-10-17T02:04:19Z</dcterms:created>
  <dcterms:modified xmlns:dcterms="http://purl.org/dc/terms/" xmlns:xsi="http://www.w3.org/2001/XMLSchema-instance" xsi:type="dcterms:W3CDTF">2026-10-17T02:04:21Z</dcterms:modified>
</cp:coreProperties>
</file>